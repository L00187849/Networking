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Networking/Assignment 1/Layer 1/"/>
    </mc:Choice>
  </mc:AlternateContent>
  <xr:revisionPtr revIDLastSave="287" documentId="11_9A961CE394488CCFEB3B98154B5DCE3A474A5D28" xr6:coauthVersionLast="47" xr6:coauthVersionMax="47" xr10:uidLastSave="{37925A4E-FFC3-42FB-A7FC-23A735A517AB}"/>
  <bookViews>
    <workbookView xWindow="28680" yWindow="-5595" windowWidth="29040" windowHeight="157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5" i="1"/>
  <c r="O6" i="1"/>
  <c r="O8" i="1"/>
  <c r="O11" i="1"/>
  <c r="O14" i="1"/>
  <c r="O16" i="1"/>
  <c r="O17" i="1"/>
  <c r="O20" i="1"/>
  <c r="O22" i="1"/>
  <c r="O23" i="1"/>
  <c r="O24" i="1"/>
  <c r="O26" i="1"/>
  <c r="O27" i="1"/>
  <c r="O29" i="1"/>
  <c r="O30" i="1"/>
  <c r="O32" i="1"/>
  <c r="O33" i="1"/>
  <c r="O34" i="1"/>
  <c r="O35" i="1"/>
  <c r="O36" i="1"/>
  <c r="O37" i="1"/>
  <c r="O38" i="1"/>
  <c r="O39" i="1"/>
  <c r="O40" i="1"/>
  <c r="O41" i="1"/>
  <c r="N3" i="1"/>
  <c r="N4" i="1"/>
  <c r="O4" i="1" s="1"/>
  <c r="N5" i="1"/>
  <c r="N6" i="1"/>
  <c r="N7" i="1"/>
  <c r="O7" i="1" s="1"/>
  <c r="N8" i="1"/>
  <c r="N9" i="1"/>
  <c r="O9" i="1" s="1"/>
  <c r="N10" i="1"/>
  <c r="O10" i="1" s="1"/>
  <c r="N11" i="1"/>
  <c r="N12" i="1"/>
  <c r="O12" i="1" s="1"/>
  <c r="N13" i="1"/>
  <c r="O13" i="1" s="1"/>
  <c r="N14" i="1"/>
  <c r="N15" i="1"/>
  <c r="O15" i="1" s="1"/>
  <c r="N16" i="1"/>
  <c r="N17" i="1"/>
  <c r="N18" i="1"/>
  <c r="O18" i="1" s="1"/>
  <c r="N19" i="1"/>
  <c r="O19" i="1" s="1"/>
  <c r="N20" i="1"/>
  <c r="N21" i="1"/>
  <c r="O21" i="1" s="1"/>
  <c r="N22" i="1"/>
  <c r="N23" i="1"/>
  <c r="N24" i="1"/>
  <c r="N25" i="1"/>
  <c r="O25" i="1" s="1"/>
  <c r="N26" i="1"/>
  <c r="N27" i="1"/>
  <c r="N28" i="1"/>
  <c r="O28" i="1" s="1"/>
  <c r="N29" i="1"/>
  <c r="N30" i="1"/>
  <c r="N31" i="1"/>
  <c r="O31" i="1" s="1"/>
  <c r="N32" i="1"/>
  <c r="N33" i="1"/>
  <c r="N34" i="1"/>
  <c r="N35" i="1"/>
  <c r="N36" i="1"/>
  <c r="N37" i="1"/>
  <c r="N38" i="1"/>
  <c r="N39" i="1"/>
  <c r="N40" i="1"/>
  <c r="N41" i="1"/>
  <c r="N2" i="1"/>
  <c r="I20" i="1"/>
  <c r="I21" i="1"/>
  <c r="I22" i="1"/>
  <c r="I23" i="1"/>
  <c r="I39" i="1"/>
  <c r="I40" i="1"/>
  <c r="I41" i="1"/>
  <c r="H3" i="1"/>
  <c r="I3" i="1" s="1"/>
  <c r="H20" i="1"/>
  <c r="H21" i="1"/>
  <c r="H22" i="1"/>
  <c r="H23" i="1"/>
  <c r="H24" i="1"/>
  <c r="I24" i="1" s="1"/>
  <c r="H39" i="1"/>
  <c r="H40" i="1"/>
  <c r="H41" i="1"/>
  <c r="G37" i="1"/>
  <c r="H37" i="1" s="1"/>
  <c r="I37" i="1" s="1"/>
  <c r="G38" i="1"/>
  <c r="H38" i="1" s="1"/>
  <c r="I38" i="1" s="1"/>
  <c r="G39" i="1"/>
  <c r="G40" i="1"/>
  <c r="G41" i="1"/>
  <c r="G3" i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G21" i="1"/>
  <c r="G22" i="1"/>
  <c r="G23" i="1"/>
  <c r="G24" i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H36" i="1" s="1"/>
  <c r="I36" i="1" s="1"/>
  <c r="G2" i="1"/>
  <c r="H2" i="1" s="1"/>
  <c r="I2" i="1" s="1"/>
  <c r="N43" i="1" l="1"/>
  <c r="O3" i="1"/>
  <c r="O43" i="1" s="1"/>
  <c r="I44" i="1"/>
</calcChain>
</file>

<file path=xl/sharedStrings.xml><?xml version="1.0" encoding="utf-8"?>
<sst xmlns="http://schemas.openxmlformats.org/spreadsheetml/2006/main" count="175" uniqueCount="41">
  <si>
    <t>Item</t>
  </si>
  <si>
    <t>Location</t>
  </si>
  <si>
    <t>Quantity</t>
  </si>
  <si>
    <t>Unit Cost (€)</t>
  </si>
  <si>
    <t>Rack</t>
  </si>
  <si>
    <t>Supermarket</t>
  </si>
  <si>
    <t>42U Rack</t>
  </si>
  <si>
    <t>UPS</t>
  </si>
  <si>
    <t>UPS 3kVA</t>
  </si>
  <si>
    <t>PDU</t>
  </si>
  <si>
    <t>Standard PDU</t>
  </si>
  <si>
    <t>Forecourt</t>
  </si>
  <si>
    <t>Test &amp; Service</t>
  </si>
  <si>
    <t>Battery Building 1</t>
  </si>
  <si>
    <t>24U Rack</t>
  </si>
  <si>
    <t>UPS 2kVA</t>
  </si>
  <si>
    <t>Battery Building 2</t>
  </si>
  <si>
    <t>Slow Charge</t>
  </si>
  <si>
    <t>18U Outdoor Cabinet</t>
  </si>
  <si>
    <t>Fast Charge</t>
  </si>
  <si>
    <t>Substation 1</t>
  </si>
  <si>
    <t>12U Wall Rack</t>
  </si>
  <si>
    <t>UPS 1kVA</t>
  </si>
  <si>
    <t>Substation 2</t>
  </si>
  <si>
    <t>Car Wash</t>
  </si>
  <si>
    <t>Labour</t>
  </si>
  <si>
    <t>Large Building</t>
  </si>
  <si>
    <t>Medium Building</t>
  </si>
  <si>
    <t>Outdoor Cabinet</t>
  </si>
  <si>
    <t>Small Building</t>
  </si>
  <si>
    <t xml:space="preserve">Reference </t>
  </si>
  <si>
    <t>Total</t>
  </si>
  <si>
    <t>€50/hr is a common standard consultant/installer hourly rate</t>
  </si>
  <si>
    <t>Description</t>
  </si>
  <si>
    <t>Vat %</t>
  </si>
  <si>
    <t>Amount</t>
  </si>
  <si>
    <t>Gross</t>
  </si>
  <si>
    <t>Total Cost</t>
  </si>
  <si>
    <t>Percentage</t>
  </si>
  <si>
    <t>Profit</t>
  </si>
  <si>
    <t>Customer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</si>
</sst>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164" fontId="0" fillId="3" borderId="1" xfId="0" applyNumberFormat="1" applyFill="1" applyBorder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1" xfId="2" applyFont="1" applyBorder="1"/>
    <xf numFmtId="164" fontId="0" fillId="0" borderId="1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b735/A700000008525164.pdf" TargetMode="External"/><Relationship Id="rId13" Type="http://schemas.openxmlformats.org/officeDocument/2006/relationships/hyperlink" Target="https://andovercg.com/datasheets/apc-NetShelter-Metered-Rack-PDUs_AP7821B.pdf" TargetMode="External"/><Relationship Id="rId18" Type="http://schemas.openxmlformats.org/officeDocument/2006/relationships/hyperlink" Target="https://andovercg.com/datasheets/apc-NetShelter-Metered-Rack-PDUs_AP7821B.pdf" TargetMode="External"/><Relationship Id="rId26" Type="http://schemas.openxmlformats.org/officeDocument/2006/relationships/hyperlink" Target="https://media.startech.com/cms/pdfs/wallmnt12_datasheet.pdf" TargetMode="External"/><Relationship Id="rId3" Type="http://schemas.openxmlformats.org/officeDocument/2006/relationships/hyperlink" Target="https://content.racksolutions.com/data_sheets/RACK-151_data_sheets_rev2.pdf" TargetMode="External"/><Relationship Id="rId21" Type="http://schemas.openxmlformats.org/officeDocument/2006/relationships/hyperlink" Target="https://www.farnell.com/datasheets/698127.pdf" TargetMode="External"/><Relationship Id="rId7" Type="http://schemas.openxmlformats.org/officeDocument/2006/relationships/hyperlink" Target="https://media.startech.com/cms/pdfs/wallmnt12_datasheet.pdf" TargetMode="External"/><Relationship Id="rId12" Type="http://schemas.openxmlformats.org/officeDocument/2006/relationships/hyperlink" Target="https://www.farnell.com/datasheets/698127.pdf" TargetMode="External"/><Relationship Id="rId17" Type="http://schemas.openxmlformats.org/officeDocument/2006/relationships/hyperlink" Target="https://andovercg.com/datasheets/apc-NetShelter-Metered-Rack-PDUs_AP7821B.pdf" TargetMode="External"/><Relationship Id="rId25" Type="http://schemas.openxmlformats.org/officeDocument/2006/relationships/hyperlink" Target="https://media.startech.com/cms/pdfs/rk1820walhm_datasheet.pdf" TargetMode="External"/><Relationship Id="rId2" Type="http://schemas.openxmlformats.org/officeDocument/2006/relationships/hyperlink" Target="https://www.isystems.sk/media/2021/12/8/9/CyberPower-DS-PR750-3000ERT2U-en-v2.pdf" TargetMode="External"/><Relationship Id="rId16" Type="http://schemas.openxmlformats.org/officeDocument/2006/relationships/hyperlink" Target="https://andovercg.com/datasheets/apc-NetShelter-Metered-Rack-PDUs_AP7821B.pdf" TargetMode="External"/><Relationship Id="rId20" Type="http://schemas.openxmlformats.org/officeDocument/2006/relationships/hyperlink" Target="https://content.racksolutions.com/data_sheets/RACK-151_data_sheets_rev2.pdf" TargetMode="External"/><Relationship Id="rId29" Type="http://schemas.openxmlformats.org/officeDocument/2006/relationships/hyperlink" Target="https://www.farnell.com/datasheets/3209096.pdf" TargetMode="External"/><Relationship Id="rId1" Type="http://schemas.openxmlformats.org/officeDocument/2006/relationships/hyperlink" Target="https://docs.rs-online.com/b735/A700000008525164.pdf" TargetMode="External"/><Relationship Id="rId6" Type="http://schemas.openxmlformats.org/officeDocument/2006/relationships/hyperlink" Target="https://media.startech.com/cms/pdfs/rk1820walhm_datasheet.pdf" TargetMode="External"/><Relationship Id="rId11" Type="http://schemas.openxmlformats.org/officeDocument/2006/relationships/hyperlink" Target="https://docs.rs-online.com/b735/A700000008525164.pdf" TargetMode="External"/><Relationship Id="rId24" Type="http://schemas.openxmlformats.org/officeDocument/2006/relationships/hyperlink" Target="https://www.farnell.com/datasheets/3209096.pdf" TargetMode="External"/><Relationship Id="rId5" Type="http://schemas.openxmlformats.org/officeDocument/2006/relationships/hyperlink" Target="https://www.farnell.com/datasheets/698127.pdf" TargetMode="External"/><Relationship Id="rId15" Type="http://schemas.openxmlformats.org/officeDocument/2006/relationships/hyperlink" Target="https://andovercg.com/datasheets/apc-NetShelter-Metered-Rack-PDUs_AP7821B.pdf" TargetMode="External"/><Relationship Id="rId23" Type="http://schemas.openxmlformats.org/officeDocument/2006/relationships/hyperlink" Target="https://www.farnell.com/datasheets/698127.pdf" TargetMode="External"/><Relationship Id="rId28" Type="http://schemas.openxmlformats.org/officeDocument/2006/relationships/hyperlink" Target="https://andovercg.com/datasheets/apc-NetShelter-Metered-Rack-PDUs_AP7821B.pdf" TargetMode="External"/><Relationship Id="rId10" Type="http://schemas.openxmlformats.org/officeDocument/2006/relationships/hyperlink" Target="https://andovercg.com/datasheets/apc-NetShelter-Metered-Rack-PDUs_AP7821B.pdf" TargetMode="External"/><Relationship Id="rId19" Type="http://schemas.openxmlformats.org/officeDocument/2006/relationships/hyperlink" Target="https://andovercg.com/datasheets/apc-NetShelter-Metered-Rack-PDUs_AP7821B.pd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ndovercg.com/datasheets/apc-NetShelter-Metered-Rack-PDUs_AP7821B.pdf" TargetMode="External"/><Relationship Id="rId9" Type="http://schemas.openxmlformats.org/officeDocument/2006/relationships/hyperlink" Target="https://www.isystems.sk/media/2021/12/8/9/CyberPower-DS-PR750-3000ERT2U-en-v2.pdf" TargetMode="External"/><Relationship Id="rId14" Type="http://schemas.openxmlformats.org/officeDocument/2006/relationships/hyperlink" Target="https://andovercg.com/datasheets/apc-NetShelter-Metered-Rack-PDUs_AP7821B.pdf" TargetMode="External"/><Relationship Id="rId22" Type="http://schemas.openxmlformats.org/officeDocument/2006/relationships/hyperlink" Target="https://www.farnell.com/datasheets/698127.pdf" TargetMode="External"/><Relationship Id="rId27" Type="http://schemas.openxmlformats.org/officeDocument/2006/relationships/hyperlink" Target="https://media.startech.com/cms/pdfs/wallmnt12_datasheet.pdf" TargetMode="External"/><Relationship Id="rId30" Type="http://schemas.openxmlformats.org/officeDocument/2006/relationships/hyperlink" Target="https://www.farnell.com/datasheets/320909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pane ySplit="1" topLeftCell="A2" activePane="bottomLeft" state="frozen"/>
      <selection pane="bottomLeft" activeCell="M47" sqref="M47"/>
    </sheetView>
  </sheetViews>
  <sheetFormatPr defaultRowHeight="15" x14ac:dyDescent="0.25"/>
  <cols>
    <col min="1" max="1" width="10.7109375" style="1" customWidth="1"/>
    <col min="2" max="2" width="16.7109375" style="1" bestFit="1" customWidth="1"/>
    <col min="3" max="3" width="19.7109375" style="1" bestFit="1" customWidth="1"/>
    <col min="4" max="4" width="8.7109375" style="1" bestFit="1" customWidth="1"/>
    <col min="5" max="5" width="12" bestFit="1" customWidth="1"/>
    <col min="6" max="6" width="15.28515625" customWidth="1"/>
    <col min="7" max="7" width="13.85546875" customWidth="1"/>
    <col min="8" max="8" width="14.5703125" customWidth="1"/>
    <col min="9" max="9" width="14.7109375" customWidth="1"/>
    <col min="12" max="12" width="55.85546875" bestFit="1" customWidth="1"/>
    <col min="13" max="13" width="27.28515625" customWidth="1"/>
    <col min="14" max="14" width="15" customWidth="1"/>
    <col min="15" max="15" width="18.5703125" customWidth="1"/>
  </cols>
  <sheetData>
    <row r="1" spans="1:15" x14ac:dyDescent="0.25">
      <c r="A1" s="3" t="s">
        <v>0</v>
      </c>
      <c r="B1" s="3" t="s">
        <v>1</v>
      </c>
      <c r="C1" s="3" t="s">
        <v>33</v>
      </c>
      <c r="D1" s="3" t="s">
        <v>2</v>
      </c>
      <c r="E1" s="3" t="s">
        <v>3</v>
      </c>
      <c r="F1" s="4" t="s">
        <v>34</v>
      </c>
      <c r="G1" s="3" t="s">
        <v>35</v>
      </c>
      <c r="H1" s="3" t="s">
        <v>36</v>
      </c>
      <c r="I1" s="3" t="s">
        <v>31</v>
      </c>
      <c r="L1" s="11" t="s">
        <v>30</v>
      </c>
      <c r="M1" s="10" t="s">
        <v>38</v>
      </c>
      <c r="N1" s="10" t="s">
        <v>39</v>
      </c>
      <c r="O1" s="10" t="s">
        <v>40</v>
      </c>
    </row>
    <row r="2" spans="1:15" x14ac:dyDescent="0.25">
      <c r="A2" s="5" t="s">
        <v>4</v>
      </c>
      <c r="B2" s="5" t="s">
        <v>5</v>
      </c>
      <c r="C2" s="5" t="s">
        <v>6</v>
      </c>
      <c r="D2" s="5">
        <v>1</v>
      </c>
      <c r="E2" s="7">
        <v>1388</v>
      </c>
      <c r="F2" s="8">
        <v>0.23</v>
      </c>
      <c r="G2" s="7">
        <f>(E2*F2)</f>
        <v>319.24</v>
      </c>
      <c r="H2" s="7">
        <f>(E2+G2)</f>
        <v>1707.24</v>
      </c>
      <c r="I2" s="7">
        <f>(H2*D2)</f>
        <v>1707.24</v>
      </c>
      <c r="L2" s="6" t="s">
        <v>6</v>
      </c>
      <c r="M2" s="12">
        <v>0.1</v>
      </c>
      <c r="N2" s="13">
        <f>SUM(M2*I2)</f>
        <v>170.72400000000002</v>
      </c>
      <c r="O2" s="13">
        <f t="shared" ref="O2:O6" si="0">SUM(N2+I2)</f>
        <v>1877.9639999999999</v>
      </c>
    </row>
    <row r="3" spans="1:15" x14ac:dyDescent="0.25">
      <c r="A3" s="5" t="s">
        <v>7</v>
      </c>
      <c r="B3" s="5" t="s">
        <v>5</v>
      </c>
      <c r="C3" s="5" t="s">
        <v>8</v>
      </c>
      <c r="D3" s="5">
        <v>1</v>
      </c>
      <c r="E3" s="7">
        <v>917</v>
      </c>
      <c r="F3" s="8">
        <v>0.23</v>
      </c>
      <c r="G3" s="7">
        <f t="shared" ref="G3:G41" si="1">(E3*F3)</f>
        <v>210.91</v>
      </c>
      <c r="H3" s="7">
        <f t="shared" ref="H3:H41" si="2">(E3+G3)</f>
        <v>1127.9100000000001</v>
      </c>
      <c r="I3" s="7">
        <f t="shared" ref="I3:I41" si="3">(H3*D3)</f>
        <v>1127.9100000000001</v>
      </c>
      <c r="L3" s="6" t="s">
        <v>8</v>
      </c>
      <c r="M3" s="12">
        <v>0.5</v>
      </c>
      <c r="N3" s="13">
        <f t="shared" ref="N3:N41" si="4">SUM(M3*I3)</f>
        <v>563.95500000000004</v>
      </c>
      <c r="O3" s="13">
        <f t="shared" si="0"/>
        <v>1691.8650000000002</v>
      </c>
    </row>
    <row r="4" spans="1:15" x14ac:dyDescent="0.25">
      <c r="A4" s="5" t="s">
        <v>9</v>
      </c>
      <c r="B4" s="5" t="s">
        <v>5</v>
      </c>
      <c r="C4" s="5" t="s">
        <v>10</v>
      </c>
      <c r="D4" s="5">
        <v>2</v>
      </c>
      <c r="E4" s="7">
        <v>759</v>
      </c>
      <c r="F4" s="8">
        <v>0.23</v>
      </c>
      <c r="G4" s="7">
        <f t="shared" si="1"/>
        <v>174.57000000000002</v>
      </c>
      <c r="H4" s="7">
        <f t="shared" si="2"/>
        <v>933.57</v>
      </c>
      <c r="I4" s="7">
        <f t="shared" si="3"/>
        <v>1867.14</v>
      </c>
      <c r="L4" s="6" t="s">
        <v>10</v>
      </c>
      <c r="M4" s="12">
        <v>0.3</v>
      </c>
      <c r="N4" s="13">
        <f t="shared" si="4"/>
        <v>560.14200000000005</v>
      </c>
      <c r="O4" s="13">
        <f t="shared" si="0"/>
        <v>2427.2820000000002</v>
      </c>
    </row>
    <row r="5" spans="1:15" x14ac:dyDescent="0.25">
      <c r="A5" s="5" t="s">
        <v>4</v>
      </c>
      <c r="B5" s="5" t="s">
        <v>11</v>
      </c>
      <c r="C5" s="5" t="s">
        <v>6</v>
      </c>
      <c r="D5" s="5">
        <v>1</v>
      </c>
      <c r="E5" s="7">
        <v>1388</v>
      </c>
      <c r="F5" s="8">
        <v>0.23</v>
      </c>
      <c r="G5" s="7">
        <f t="shared" si="1"/>
        <v>319.24</v>
      </c>
      <c r="H5" s="7">
        <f t="shared" si="2"/>
        <v>1707.24</v>
      </c>
      <c r="I5" s="7">
        <f t="shared" si="3"/>
        <v>1707.24</v>
      </c>
      <c r="L5" s="6" t="s">
        <v>6</v>
      </c>
      <c r="M5" s="12">
        <v>0.1</v>
      </c>
      <c r="N5" s="13">
        <f t="shared" si="4"/>
        <v>170.72400000000002</v>
      </c>
      <c r="O5" s="13">
        <f t="shared" si="0"/>
        <v>1877.9639999999999</v>
      </c>
    </row>
    <row r="6" spans="1:15" x14ac:dyDescent="0.25">
      <c r="A6" s="5" t="s">
        <v>7</v>
      </c>
      <c r="B6" s="5" t="s">
        <v>11</v>
      </c>
      <c r="C6" s="5" t="s">
        <v>8</v>
      </c>
      <c r="D6" s="5">
        <v>1</v>
      </c>
      <c r="E6" s="7">
        <v>917</v>
      </c>
      <c r="F6" s="8">
        <v>0.23</v>
      </c>
      <c r="G6" s="7">
        <f t="shared" si="1"/>
        <v>210.91</v>
      </c>
      <c r="H6" s="7">
        <f t="shared" si="2"/>
        <v>1127.9100000000001</v>
      </c>
      <c r="I6" s="7">
        <f t="shared" si="3"/>
        <v>1127.9100000000001</v>
      </c>
      <c r="L6" s="6" t="s">
        <v>8</v>
      </c>
      <c r="M6" s="12">
        <v>0.5</v>
      </c>
      <c r="N6" s="13">
        <f t="shared" si="4"/>
        <v>563.95500000000004</v>
      </c>
      <c r="O6" s="13">
        <f t="shared" si="0"/>
        <v>1691.8650000000002</v>
      </c>
    </row>
    <row r="7" spans="1:15" x14ac:dyDescent="0.25">
      <c r="A7" s="5" t="s">
        <v>9</v>
      </c>
      <c r="B7" s="5" t="s">
        <v>11</v>
      </c>
      <c r="C7" s="5" t="s">
        <v>10</v>
      </c>
      <c r="D7" s="5">
        <v>2</v>
      </c>
      <c r="E7" s="7">
        <v>759</v>
      </c>
      <c r="F7" s="8">
        <v>0.23</v>
      </c>
      <c r="G7" s="7">
        <f t="shared" si="1"/>
        <v>174.57000000000002</v>
      </c>
      <c r="H7" s="7">
        <f t="shared" si="2"/>
        <v>933.57</v>
      </c>
      <c r="I7" s="7">
        <f t="shared" si="3"/>
        <v>1867.14</v>
      </c>
      <c r="L7" s="6" t="s">
        <v>10</v>
      </c>
      <c r="M7" s="12">
        <v>0.3</v>
      </c>
      <c r="N7" s="13">
        <f t="shared" si="4"/>
        <v>560.14200000000005</v>
      </c>
      <c r="O7" s="13">
        <f>SUM(N7+I7)</f>
        <v>2427.2820000000002</v>
      </c>
    </row>
    <row r="8" spans="1:15" x14ac:dyDescent="0.25">
      <c r="A8" s="5" t="s">
        <v>4</v>
      </c>
      <c r="B8" s="5" t="s">
        <v>12</v>
      </c>
      <c r="C8" s="5" t="s">
        <v>6</v>
      </c>
      <c r="D8" s="5">
        <v>1</v>
      </c>
      <c r="E8" s="7">
        <v>1388</v>
      </c>
      <c r="F8" s="8">
        <v>0.23</v>
      </c>
      <c r="G8" s="7">
        <f t="shared" si="1"/>
        <v>319.24</v>
      </c>
      <c r="H8" s="7">
        <f t="shared" si="2"/>
        <v>1707.24</v>
      </c>
      <c r="I8" s="7">
        <f t="shared" si="3"/>
        <v>1707.24</v>
      </c>
      <c r="L8" s="6" t="s">
        <v>6</v>
      </c>
      <c r="M8" s="12">
        <v>0.1</v>
      </c>
      <c r="N8" s="13">
        <f t="shared" si="4"/>
        <v>170.72400000000002</v>
      </c>
      <c r="O8" s="13">
        <f t="shared" ref="O8:O41" si="5">SUM(N8+I8)</f>
        <v>1877.9639999999999</v>
      </c>
    </row>
    <row r="9" spans="1:15" x14ac:dyDescent="0.25">
      <c r="A9" s="5" t="s">
        <v>7</v>
      </c>
      <c r="B9" s="5" t="s">
        <v>12</v>
      </c>
      <c r="C9" s="5" t="s">
        <v>8</v>
      </c>
      <c r="D9" s="5">
        <v>1</v>
      </c>
      <c r="E9" s="7">
        <v>917</v>
      </c>
      <c r="F9" s="8">
        <v>0.23</v>
      </c>
      <c r="G9" s="7">
        <f t="shared" si="1"/>
        <v>210.91</v>
      </c>
      <c r="H9" s="7">
        <f t="shared" si="2"/>
        <v>1127.9100000000001</v>
      </c>
      <c r="I9" s="7">
        <f t="shared" si="3"/>
        <v>1127.9100000000001</v>
      </c>
      <c r="L9" s="6" t="s">
        <v>8</v>
      </c>
      <c r="M9" s="12">
        <v>0.5</v>
      </c>
      <c r="N9" s="13">
        <f t="shared" si="4"/>
        <v>563.95500000000004</v>
      </c>
      <c r="O9" s="13">
        <f t="shared" si="5"/>
        <v>1691.8650000000002</v>
      </c>
    </row>
    <row r="10" spans="1:15" x14ac:dyDescent="0.25">
      <c r="A10" s="5" t="s">
        <v>9</v>
      </c>
      <c r="B10" s="5" t="s">
        <v>12</v>
      </c>
      <c r="C10" s="5" t="s">
        <v>10</v>
      </c>
      <c r="D10" s="5">
        <v>2</v>
      </c>
      <c r="E10" s="7">
        <v>759</v>
      </c>
      <c r="F10" s="8">
        <v>0.23</v>
      </c>
      <c r="G10" s="7">
        <f t="shared" si="1"/>
        <v>174.57000000000002</v>
      </c>
      <c r="H10" s="7">
        <f t="shared" si="2"/>
        <v>933.57</v>
      </c>
      <c r="I10" s="7">
        <f t="shared" si="3"/>
        <v>1867.14</v>
      </c>
      <c r="L10" s="6" t="s">
        <v>10</v>
      </c>
      <c r="M10" s="12">
        <v>0.3</v>
      </c>
      <c r="N10" s="13">
        <f t="shared" si="4"/>
        <v>560.14200000000005</v>
      </c>
      <c r="O10" s="13">
        <f t="shared" si="5"/>
        <v>2427.2820000000002</v>
      </c>
    </row>
    <row r="11" spans="1:15" x14ac:dyDescent="0.25">
      <c r="A11" s="5" t="s">
        <v>4</v>
      </c>
      <c r="B11" s="5" t="s">
        <v>13</v>
      </c>
      <c r="C11" s="5" t="s">
        <v>14</v>
      </c>
      <c r="D11" s="5">
        <v>1</v>
      </c>
      <c r="E11" s="7">
        <v>980</v>
      </c>
      <c r="F11" s="8">
        <v>0.23</v>
      </c>
      <c r="G11" s="7">
        <f t="shared" si="1"/>
        <v>225.4</v>
      </c>
      <c r="H11" s="7">
        <f t="shared" si="2"/>
        <v>1205.4000000000001</v>
      </c>
      <c r="I11" s="7">
        <f t="shared" si="3"/>
        <v>1205.4000000000001</v>
      </c>
      <c r="L11" s="6" t="s">
        <v>14</v>
      </c>
      <c r="M11" s="12">
        <v>0.1</v>
      </c>
      <c r="N11" s="13">
        <f t="shared" si="4"/>
        <v>120.54000000000002</v>
      </c>
      <c r="O11" s="13">
        <f t="shared" si="5"/>
        <v>1325.94</v>
      </c>
    </row>
    <row r="12" spans="1:15" x14ac:dyDescent="0.25">
      <c r="A12" s="5" t="s">
        <v>7</v>
      </c>
      <c r="B12" s="5" t="s">
        <v>13</v>
      </c>
      <c r="C12" s="5" t="s">
        <v>15</v>
      </c>
      <c r="D12" s="5">
        <v>1</v>
      </c>
      <c r="E12" s="7">
        <v>650</v>
      </c>
      <c r="F12" s="8">
        <v>0.23</v>
      </c>
      <c r="G12" s="7">
        <f t="shared" si="1"/>
        <v>149.5</v>
      </c>
      <c r="H12" s="7">
        <f t="shared" si="2"/>
        <v>799.5</v>
      </c>
      <c r="I12" s="7">
        <f t="shared" si="3"/>
        <v>799.5</v>
      </c>
      <c r="L12" s="6" t="s">
        <v>15</v>
      </c>
      <c r="M12" s="12">
        <v>0.5</v>
      </c>
      <c r="N12" s="13">
        <f t="shared" si="4"/>
        <v>399.75</v>
      </c>
      <c r="O12" s="13">
        <f t="shared" si="5"/>
        <v>1199.25</v>
      </c>
    </row>
    <row r="13" spans="1:15" x14ac:dyDescent="0.25">
      <c r="A13" s="5" t="s">
        <v>9</v>
      </c>
      <c r="B13" s="5" t="s">
        <v>13</v>
      </c>
      <c r="C13" s="5" t="s">
        <v>10</v>
      </c>
      <c r="D13" s="5">
        <v>2</v>
      </c>
      <c r="E13" s="7">
        <v>759</v>
      </c>
      <c r="F13" s="8">
        <v>0.23</v>
      </c>
      <c r="G13" s="7">
        <f t="shared" si="1"/>
        <v>174.57000000000002</v>
      </c>
      <c r="H13" s="7">
        <f t="shared" si="2"/>
        <v>933.57</v>
      </c>
      <c r="I13" s="7">
        <f t="shared" si="3"/>
        <v>1867.14</v>
      </c>
      <c r="L13" s="6" t="s">
        <v>10</v>
      </c>
      <c r="M13" s="12">
        <v>0.3</v>
      </c>
      <c r="N13" s="13">
        <f t="shared" si="4"/>
        <v>560.14200000000005</v>
      </c>
      <c r="O13" s="13">
        <f t="shared" si="5"/>
        <v>2427.2820000000002</v>
      </c>
    </row>
    <row r="14" spans="1:15" x14ac:dyDescent="0.25">
      <c r="A14" s="5" t="s">
        <v>4</v>
      </c>
      <c r="B14" s="5" t="s">
        <v>16</v>
      </c>
      <c r="C14" s="5" t="s">
        <v>14</v>
      </c>
      <c r="D14" s="5">
        <v>1</v>
      </c>
      <c r="E14" s="7">
        <v>1388</v>
      </c>
      <c r="F14" s="8">
        <v>0.23</v>
      </c>
      <c r="G14" s="7">
        <f t="shared" si="1"/>
        <v>319.24</v>
      </c>
      <c r="H14" s="7">
        <f t="shared" si="2"/>
        <v>1707.24</v>
      </c>
      <c r="I14" s="7">
        <f t="shared" si="3"/>
        <v>1707.24</v>
      </c>
      <c r="L14" s="6" t="s">
        <v>14</v>
      </c>
      <c r="M14" s="12">
        <v>0.1</v>
      </c>
      <c r="N14" s="13">
        <f t="shared" si="4"/>
        <v>170.72400000000002</v>
      </c>
      <c r="O14" s="13">
        <f t="shared" si="5"/>
        <v>1877.9639999999999</v>
      </c>
    </row>
    <row r="15" spans="1:15" x14ac:dyDescent="0.25">
      <c r="A15" s="5" t="s">
        <v>7</v>
      </c>
      <c r="B15" s="5" t="s">
        <v>16</v>
      </c>
      <c r="C15" s="5" t="s">
        <v>15</v>
      </c>
      <c r="D15" s="5">
        <v>1</v>
      </c>
      <c r="E15" s="7">
        <v>650</v>
      </c>
      <c r="F15" s="8">
        <v>0.23</v>
      </c>
      <c r="G15" s="7">
        <f t="shared" si="1"/>
        <v>149.5</v>
      </c>
      <c r="H15" s="7">
        <f t="shared" si="2"/>
        <v>799.5</v>
      </c>
      <c r="I15" s="7">
        <f t="shared" si="3"/>
        <v>799.5</v>
      </c>
      <c r="L15" s="6" t="s">
        <v>15</v>
      </c>
      <c r="M15" s="12">
        <v>0.5</v>
      </c>
      <c r="N15" s="13">
        <f t="shared" si="4"/>
        <v>399.75</v>
      </c>
      <c r="O15" s="13">
        <f t="shared" si="5"/>
        <v>1199.25</v>
      </c>
    </row>
    <row r="16" spans="1:15" x14ac:dyDescent="0.25">
      <c r="A16" s="5" t="s">
        <v>9</v>
      </c>
      <c r="B16" s="5" t="s">
        <v>16</v>
      </c>
      <c r="C16" s="5" t="s">
        <v>10</v>
      </c>
      <c r="D16" s="5">
        <v>2</v>
      </c>
      <c r="E16" s="7">
        <v>759</v>
      </c>
      <c r="F16" s="8">
        <v>0.23</v>
      </c>
      <c r="G16" s="7">
        <f t="shared" si="1"/>
        <v>174.57000000000002</v>
      </c>
      <c r="H16" s="7">
        <f t="shared" si="2"/>
        <v>933.57</v>
      </c>
      <c r="I16" s="7">
        <f t="shared" si="3"/>
        <v>1867.14</v>
      </c>
      <c r="L16" s="6" t="s">
        <v>10</v>
      </c>
      <c r="M16" s="12">
        <v>0.3</v>
      </c>
      <c r="N16" s="13">
        <f t="shared" si="4"/>
        <v>560.14200000000005</v>
      </c>
      <c r="O16" s="13">
        <f t="shared" si="5"/>
        <v>2427.2820000000002</v>
      </c>
    </row>
    <row r="17" spans="1:15" x14ac:dyDescent="0.25">
      <c r="A17" s="5" t="s">
        <v>4</v>
      </c>
      <c r="B17" s="5" t="s">
        <v>17</v>
      </c>
      <c r="C17" s="5" t="s">
        <v>18</v>
      </c>
      <c r="D17" s="5">
        <v>1</v>
      </c>
      <c r="E17" s="7">
        <v>416</v>
      </c>
      <c r="F17" s="8">
        <v>0.23</v>
      </c>
      <c r="G17" s="7">
        <f t="shared" si="1"/>
        <v>95.68</v>
      </c>
      <c r="H17" s="7">
        <f t="shared" si="2"/>
        <v>511.68</v>
      </c>
      <c r="I17" s="7">
        <f t="shared" si="3"/>
        <v>511.68</v>
      </c>
      <c r="L17" s="6" t="s">
        <v>18</v>
      </c>
      <c r="M17" s="12">
        <v>0.1</v>
      </c>
      <c r="N17" s="13">
        <f t="shared" si="4"/>
        <v>51.168000000000006</v>
      </c>
      <c r="O17" s="13">
        <f t="shared" si="5"/>
        <v>562.84799999999996</v>
      </c>
    </row>
    <row r="18" spans="1:15" x14ac:dyDescent="0.25">
      <c r="A18" s="5" t="s">
        <v>7</v>
      </c>
      <c r="B18" s="5" t="s">
        <v>17</v>
      </c>
      <c r="C18" s="5" t="s">
        <v>15</v>
      </c>
      <c r="D18" s="5">
        <v>1</v>
      </c>
      <c r="E18" s="7">
        <v>650</v>
      </c>
      <c r="F18" s="8">
        <v>0.23</v>
      </c>
      <c r="G18" s="7">
        <f t="shared" si="1"/>
        <v>149.5</v>
      </c>
      <c r="H18" s="7">
        <f t="shared" si="2"/>
        <v>799.5</v>
      </c>
      <c r="I18" s="7">
        <f t="shared" si="3"/>
        <v>799.5</v>
      </c>
      <c r="L18" s="6" t="s">
        <v>15</v>
      </c>
      <c r="M18" s="12">
        <v>0.5</v>
      </c>
      <c r="N18" s="13">
        <f t="shared" si="4"/>
        <v>399.75</v>
      </c>
      <c r="O18" s="13">
        <f t="shared" si="5"/>
        <v>1199.25</v>
      </c>
    </row>
    <row r="19" spans="1:15" x14ac:dyDescent="0.25">
      <c r="A19" s="5" t="s">
        <v>9</v>
      </c>
      <c r="B19" s="5" t="s">
        <v>17</v>
      </c>
      <c r="C19" s="5" t="s">
        <v>10</v>
      </c>
      <c r="D19" s="5">
        <v>2</v>
      </c>
      <c r="E19" s="7">
        <v>759</v>
      </c>
      <c r="F19" s="8">
        <v>0.23</v>
      </c>
      <c r="G19" s="7">
        <f t="shared" si="1"/>
        <v>174.57000000000002</v>
      </c>
      <c r="H19" s="7">
        <f t="shared" si="2"/>
        <v>933.57</v>
      </c>
      <c r="I19" s="7">
        <f t="shared" si="3"/>
        <v>1867.14</v>
      </c>
      <c r="L19" s="6" t="s">
        <v>10</v>
      </c>
      <c r="M19" s="12">
        <v>0.3</v>
      </c>
      <c r="N19" s="13">
        <f t="shared" si="4"/>
        <v>560.14200000000005</v>
      </c>
      <c r="O19" s="13">
        <f t="shared" si="5"/>
        <v>2427.2820000000002</v>
      </c>
    </row>
    <row r="20" spans="1:15" x14ac:dyDescent="0.25">
      <c r="A20" s="5" t="s">
        <v>4</v>
      </c>
      <c r="B20" s="5" t="s">
        <v>19</v>
      </c>
      <c r="C20" s="5" t="s">
        <v>18</v>
      </c>
      <c r="D20" s="5">
        <v>1</v>
      </c>
      <c r="E20" s="7">
        <v>416</v>
      </c>
      <c r="F20" s="8">
        <v>0.23</v>
      </c>
      <c r="G20" s="7">
        <f t="shared" si="1"/>
        <v>95.68</v>
      </c>
      <c r="H20" s="7">
        <f t="shared" si="2"/>
        <v>511.68</v>
      </c>
      <c r="I20" s="7">
        <f t="shared" si="3"/>
        <v>511.68</v>
      </c>
      <c r="L20" s="6" t="s">
        <v>18</v>
      </c>
      <c r="M20" s="12">
        <v>0.1</v>
      </c>
      <c r="N20" s="13">
        <f t="shared" si="4"/>
        <v>51.168000000000006</v>
      </c>
      <c r="O20" s="13">
        <f t="shared" si="5"/>
        <v>562.84799999999996</v>
      </c>
    </row>
    <row r="21" spans="1:15" x14ac:dyDescent="0.25">
      <c r="A21" s="5" t="s">
        <v>7</v>
      </c>
      <c r="B21" s="5" t="s">
        <v>19</v>
      </c>
      <c r="C21" s="5" t="s">
        <v>15</v>
      </c>
      <c r="D21" s="5">
        <v>1</v>
      </c>
      <c r="E21" s="7">
        <v>650</v>
      </c>
      <c r="F21" s="8">
        <v>0.23</v>
      </c>
      <c r="G21" s="7">
        <f t="shared" si="1"/>
        <v>149.5</v>
      </c>
      <c r="H21" s="7">
        <f t="shared" si="2"/>
        <v>799.5</v>
      </c>
      <c r="I21" s="7">
        <f t="shared" si="3"/>
        <v>799.5</v>
      </c>
      <c r="L21" s="6" t="s">
        <v>15</v>
      </c>
      <c r="M21" s="12">
        <v>0.5</v>
      </c>
      <c r="N21" s="13">
        <f t="shared" si="4"/>
        <v>399.75</v>
      </c>
      <c r="O21" s="13">
        <f t="shared" si="5"/>
        <v>1199.25</v>
      </c>
    </row>
    <row r="22" spans="1:15" x14ac:dyDescent="0.25">
      <c r="A22" s="5" t="s">
        <v>9</v>
      </c>
      <c r="B22" s="5" t="s">
        <v>19</v>
      </c>
      <c r="C22" s="5" t="s">
        <v>10</v>
      </c>
      <c r="D22" s="5">
        <v>2</v>
      </c>
      <c r="E22" s="7">
        <v>759</v>
      </c>
      <c r="F22" s="8">
        <v>0.23</v>
      </c>
      <c r="G22" s="7">
        <f t="shared" si="1"/>
        <v>174.57000000000002</v>
      </c>
      <c r="H22" s="7">
        <f t="shared" si="2"/>
        <v>933.57</v>
      </c>
      <c r="I22" s="7">
        <f t="shared" si="3"/>
        <v>1867.14</v>
      </c>
      <c r="L22" s="6" t="s">
        <v>10</v>
      </c>
      <c r="M22" s="12">
        <v>0.3</v>
      </c>
      <c r="N22" s="13">
        <f t="shared" si="4"/>
        <v>560.14200000000005</v>
      </c>
      <c r="O22" s="13">
        <f t="shared" si="5"/>
        <v>2427.2820000000002</v>
      </c>
    </row>
    <row r="23" spans="1:15" x14ac:dyDescent="0.25">
      <c r="A23" s="5" t="s">
        <v>4</v>
      </c>
      <c r="B23" s="5" t="s">
        <v>20</v>
      </c>
      <c r="C23" s="5" t="s">
        <v>21</v>
      </c>
      <c r="D23" s="5">
        <v>1</v>
      </c>
      <c r="E23" s="7">
        <v>134</v>
      </c>
      <c r="F23" s="8">
        <v>0.23</v>
      </c>
      <c r="G23" s="7">
        <f t="shared" si="1"/>
        <v>30.82</v>
      </c>
      <c r="H23" s="7">
        <f t="shared" si="2"/>
        <v>164.82</v>
      </c>
      <c r="I23" s="7">
        <f t="shared" si="3"/>
        <v>164.82</v>
      </c>
      <c r="L23" s="6" t="s">
        <v>21</v>
      </c>
      <c r="M23" s="12">
        <v>0.1</v>
      </c>
      <c r="N23" s="13">
        <f t="shared" si="4"/>
        <v>16.481999999999999</v>
      </c>
      <c r="O23" s="13">
        <f t="shared" si="5"/>
        <v>181.30199999999999</v>
      </c>
    </row>
    <row r="24" spans="1:15" x14ac:dyDescent="0.25">
      <c r="A24" s="5" t="s">
        <v>7</v>
      </c>
      <c r="B24" s="5" t="s">
        <v>20</v>
      </c>
      <c r="C24" s="5" t="s">
        <v>22</v>
      </c>
      <c r="D24" s="5">
        <v>1</v>
      </c>
      <c r="E24" s="7">
        <v>152</v>
      </c>
      <c r="F24" s="8">
        <v>0.23</v>
      </c>
      <c r="G24" s="7">
        <f t="shared" si="1"/>
        <v>34.96</v>
      </c>
      <c r="H24" s="7">
        <f t="shared" si="2"/>
        <v>186.96</v>
      </c>
      <c r="I24" s="7">
        <f t="shared" si="3"/>
        <v>186.96</v>
      </c>
      <c r="L24" s="6" t="s">
        <v>22</v>
      </c>
      <c r="M24" s="12">
        <v>0.1</v>
      </c>
      <c r="N24" s="13">
        <f t="shared" si="4"/>
        <v>18.696000000000002</v>
      </c>
      <c r="O24" s="13">
        <f t="shared" si="5"/>
        <v>205.65600000000001</v>
      </c>
    </row>
    <row r="25" spans="1:15" x14ac:dyDescent="0.25">
      <c r="A25" s="5" t="s">
        <v>9</v>
      </c>
      <c r="B25" s="5" t="s">
        <v>20</v>
      </c>
      <c r="C25" s="5" t="s">
        <v>10</v>
      </c>
      <c r="D25" s="5">
        <v>2</v>
      </c>
      <c r="E25" s="7">
        <v>759</v>
      </c>
      <c r="F25" s="8">
        <v>0.23</v>
      </c>
      <c r="G25" s="7">
        <f t="shared" si="1"/>
        <v>174.57000000000002</v>
      </c>
      <c r="H25" s="7">
        <f t="shared" si="2"/>
        <v>933.57</v>
      </c>
      <c r="I25" s="7">
        <f t="shared" si="3"/>
        <v>1867.14</v>
      </c>
      <c r="L25" s="6" t="s">
        <v>10</v>
      </c>
      <c r="M25" s="12">
        <v>0.3</v>
      </c>
      <c r="N25" s="13">
        <f t="shared" si="4"/>
        <v>560.14200000000005</v>
      </c>
      <c r="O25" s="13">
        <f t="shared" si="5"/>
        <v>2427.2820000000002</v>
      </c>
    </row>
    <row r="26" spans="1:15" x14ac:dyDescent="0.25">
      <c r="A26" s="5" t="s">
        <v>4</v>
      </c>
      <c r="B26" s="5" t="s">
        <v>23</v>
      </c>
      <c r="C26" s="5" t="s">
        <v>21</v>
      </c>
      <c r="D26" s="5">
        <v>1</v>
      </c>
      <c r="E26" s="7">
        <v>134</v>
      </c>
      <c r="F26" s="8">
        <v>0.23</v>
      </c>
      <c r="G26" s="7">
        <f t="shared" si="1"/>
        <v>30.82</v>
      </c>
      <c r="H26" s="7">
        <f t="shared" si="2"/>
        <v>164.82</v>
      </c>
      <c r="I26" s="7">
        <f t="shared" si="3"/>
        <v>164.82</v>
      </c>
      <c r="L26" s="6" t="s">
        <v>21</v>
      </c>
      <c r="M26" s="12">
        <v>0.1</v>
      </c>
      <c r="N26" s="13">
        <f t="shared" si="4"/>
        <v>16.481999999999999</v>
      </c>
      <c r="O26" s="13">
        <f t="shared" si="5"/>
        <v>181.30199999999999</v>
      </c>
    </row>
    <row r="27" spans="1:15" x14ac:dyDescent="0.25">
      <c r="A27" s="5" t="s">
        <v>7</v>
      </c>
      <c r="B27" s="5" t="s">
        <v>23</v>
      </c>
      <c r="C27" s="5" t="s">
        <v>22</v>
      </c>
      <c r="D27" s="5">
        <v>1</v>
      </c>
      <c r="E27" s="7">
        <v>152</v>
      </c>
      <c r="F27" s="8">
        <v>0.23</v>
      </c>
      <c r="G27" s="7">
        <f t="shared" si="1"/>
        <v>34.96</v>
      </c>
      <c r="H27" s="7">
        <f t="shared" si="2"/>
        <v>186.96</v>
      </c>
      <c r="I27" s="7">
        <f t="shared" si="3"/>
        <v>186.96</v>
      </c>
      <c r="L27" s="6" t="s">
        <v>22</v>
      </c>
      <c r="M27" s="12">
        <v>0.1</v>
      </c>
      <c r="N27" s="13">
        <f t="shared" si="4"/>
        <v>18.696000000000002</v>
      </c>
      <c r="O27" s="13">
        <f t="shared" si="5"/>
        <v>205.65600000000001</v>
      </c>
    </row>
    <row r="28" spans="1:15" x14ac:dyDescent="0.25">
      <c r="A28" s="5" t="s">
        <v>9</v>
      </c>
      <c r="B28" s="5" t="s">
        <v>23</v>
      </c>
      <c r="C28" s="5" t="s">
        <v>10</v>
      </c>
      <c r="D28" s="5">
        <v>2</v>
      </c>
      <c r="E28" s="7">
        <v>759</v>
      </c>
      <c r="F28" s="8">
        <v>0.23</v>
      </c>
      <c r="G28" s="7">
        <f t="shared" si="1"/>
        <v>174.57000000000002</v>
      </c>
      <c r="H28" s="7">
        <f t="shared" si="2"/>
        <v>933.57</v>
      </c>
      <c r="I28" s="7">
        <f t="shared" si="3"/>
        <v>1867.14</v>
      </c>
      <c r="L28" s="6" t="s">
        <v>10</v>
      </c>
      <c r="M28" s="12">
        <v>0.3</v>
      </c>
      <c r="N28" s="13">
        <f t="shared" si="4"/>
        <v>560.14200000000005</v>
      </c>
      <c r="O28" s="13">
        <f t="shared" si="5"/>
        <v>2427.2820000000002</v>
      </c>
    </row>
    <row r="29" spans="1:15" x14ac:dyDescent="0.25">
      <c r="A29" s="5" t="s">
        <v>4</v>
      </c>
      <c r="B29" s="5" t="s">
        <v>24</v>
      </c>
      <c r="C29" s="5" t="s">
        <v>21</v>
      </c>
      <c r="D29" s="5">
        <v>1</v>
      </c>
      <c r="E29" s="7">
        <v>134</v>
      </c>
      <c r="F29" s="8">
        <v>0.23</v>
      </c>
      <c r="G29" s="7">
        <f t="shared" si="1"/>
        <v>30.82</v>
      </c>
      <c r="H29" s="7">
        <f t="shared" si="2"/>
        <v>164.82</v>
      </c>
      <c r="I29" s="7">
        <f t="shared" si="3"/>
        <v>164.82</v>
      </c>
      <c r="L29" s="6" t="s">
        <v>21</v>
      </c>
      <c r="M29" s="12">
        <v>0.1</v>
      </c>
      <c r="N29" s="13">
        <f t="shared" si="4"/>
        <v>16.481999999999999</v>
      </c>
      <c r="O29" s="13">
        <f t="shared" si="5"/>
        <v>181.30199999999999</v>
      </c>
    </row>
    <row r="30" spans="1:15" x14ac:dyDescent="0.25">
      <c r="A30" s="5" t="s">
        <v>7</v>
      </c>
      <c r="B30" s="5" t="s">
        <v>24</v>
      </c>
      <c r="C30" s="5" t="s">
        <v>22</v>
      </c>
      <c r="D30" s="5">
        <v>1</v>
      </c>
      <c r="E30" s="7">
        <v>152</v>
      </c>
      <c r="F30" s="8">
        <v>0.23</v>
      </c>
      <c r="G30" s="7">
        <f t="shared" si="1"/>
        <v>34.96</v>
      </c>
      <c r="H30" s="7">
        <f t="shared" si="2"/>
        <v>186.96</v>
      </c>
      <c r="I30" s="7">
        <f t="shared" si="3"/>
        <v>186.96</v>
      </c>
      <c r="L30" s="6" t="s">
        <v>22</v>
      </c>
      <c r="M30" s="12">
        <v>0.1</v>
      </c>
      <c r="N30" s="13">
        <f t="shared" si="4"/>
        <v>18.696000000000002</v>
      </c>
      <c r="O30" s="13">
        <f t="shared" si="5"/>
        <v>205.65600000000001</v>
      </c>
    </row>
    <row r="31" spans="1:15" x14ac:dyDescent="0.25">
      <c r="A31" s="5" t="s">
        <v>9</v>
      </c>
      <c r="B31" s="5" t="s">
        <v>24</v>
      </c>
      <c r="C31" s="5" t="s">
        <v>10</v>
      </c>
      <c r="D31" s="5">
        <v>2</v>
      </c>
      <c r="E31" s="7">
        <v>759</v>
      </c>
      <c r="F31" s="8">
        <v>0.23</v>
      </c>
      <c r="G31" s="7">
        <f t="shared" si="1"/>
        <v>174.57000000000002</v>
      </c>
      <c r="H31" s="7">
        <f t="shared" si="2"/>
        <v>933.57</v>
      </c>
      <c r="I31" s="7">
        <f t="shared" si="3"/>
        <v>1867.14</v>
      </c>
      <c r="L31" s="6" t="s">
        <v>10</v>
      </c>
      <c r="M31" s="12">
        <v>0.3</v>
      </c>
      <c r="N31" s="13">
        <f t="shared" si="4"/>
        <v>560.14200000000005</v>
      </c>
      <c r="O31" s="13">
        <f t="shared" si="5"/>
        <v>2427.2820000000002</v>
      </c>
    </row>
    <row r="32" spans="1:15" x14ac:dyDescent="0.25">
      <c r="A32" s="5" t="s">
        <v>25</v>
      </c>
      <c r="B32" s="5" t="s">
        <v>5</v>
      </c>
      <c r="C32" s="5" t="s">
        <v>26</v>
      </c>
      <c r="D32" s="5">
        <v>16</v>
      </c>
      <c r="E32" s="7">
        <v>50</v>
      </c>
      <c r="F32" s="8">
        <v>0.23</v>
      </c>
      <c r="G32" s="7">
        <f t="shared" si="1"/>
        <v>11.5</v>
      </c>
      <c r="H32" s="7">
        <f t="shared" si="2"/>
        <v>61.5</v>
      </c>
      <c r="I32" s="7">
        <f t="shared" si="3"/>
        <v>984</v>
      </c>
      <c r="L32" s="5" t="s">
        <v>32</v>
      </c>
      <c r="M32" s="12">
        <v>0.1</v>
      </c>
      <c r="N32" s="13">
        <f t="shared" si="4"/>
        <v>98.4</v>
      </c>
      <c r="O32" s="13">
        <f t="shared" si="5"/>
        <v>1082.4000000000001</v>
      </c>
    </row>
    <row r="33" spans="1:15" x14ac:dyDescent="0.25">
      <c r="A33" s="5" t="s">
        <v>25</v>
      </c>
      <c r="B33" s="5" t="s">
        <v>11</v>
      </c>
      <c r="C33" s="5" t="s">
        <v>26</v>
      </c>
      <c r="D33" s="5">
        <v>16</v>
      </c>
      <c r="E33" s="7">
        <v>50</v>
      </c>
      <c r="F33" s="8">
        <v>0.23</v>
      </c>
      <c r="G33" s="7">
        <f t="shared" si="1"/>
        <v>11.5</v>
      </c>
      <c r="H33" s="7">
        <f t="shared" si="2"/>
        <v>61.5</v>
      </c>
      <c r="I33" s="7">
        <f t="shared" si="3"/>
        <v>984</v>
      </c>
      <c r="L33" s="5" t="s">
        <v>32</v>
      </c>
      <c r="M33" s="12">
        <v>0.1</v>
      </c>
      <c r="N33" s="13">
        <f t="shared" si="4"/>
        <v>98.4</v>
      </c>
      <c r="O33" s="13">
        <f t="shared" si="5"/>
        <v>1082.4000000000001</v>
      </c>
    </row>
    <row r="34" spans="1:15" x14ac:dyDescent="0.25">
      <c r="A34" s="5" t="s">
        <v>25</v>
      </c>
      <c r="B34" s="5" t="s">
        <v>12</v>
      </c>
      <c r="C34" s="5" t="s">
        <v>26</v>
      </c>
      <c r="D34" s="5">
        <v>16</v>
      </c>
      <c r="E34" s="7">
        <v>50</v>
      </c>
      <c r="F34" s="8">
        <v>0.23</v>
      </c>
      <c r="G34" s="7">
        <f t="shared" si="1"/>
        <v>11.5</v>
      </c>
      <c r="H34" s="7">
        <f t="shared" si="2"/>
        <v>61.5</v>
      </c>
      <c r="I34" s="7">
        <f t="shared" si="3"/>
        <v>984</v>
      </c>
      <c r="L34" s="5" t="s">
        <v>32</v>
      </c>
      <c r="M34" s="12">
        <v>0.1</v>
      </c>
      <c r="N34" s="13">
        <f t="shared" si="4"/>
        <v>98.4</v>
      </c>
      <c r="O34" s="13">
        <f t="shared" si="5"/>
        <v>1082.4000000000001</v>
      </c>
    </row>
    <row r="35" spans="1:15" x14ac:dyDescent="0.25">
      <c r="A35" s="5" t="s">
        <v>25</v>
      </c>
      <c r="B35" s="5" t="s">
        <v>13</v>
      </c>
      <c r="C35" s="5" t="s">
        <v>27</v>
      </c>
      <c r="D35" s="5">
        <v>12</v>
      </c>
      <c r="E35" s="7">
        <v>50</v>
      </c>
      <c r="F35" s="8">
        <v>0.23</v>
      </c>
      <c r="G35" s="7">
        <f t="shared" si="1"/>
        <v>11.5</v>
      </c>
      <c r="H35" s="7">
        <f t="shared" si="2"/>
        <v>61.5</v>
      </c>
      <c r="I35" s="7">
        <f t="shared" si="3"/>
        <v>738</v>
      </c>
      <c r="L35" s="5" t="s">
        <v>32</v>
      </c>
      <c r="M35" s="12">
        <v>0.1</v>
      </c>
      <c r="N35" s="13">
        <f t="shared" si="4"/>
        <v>73.8</v>
      </c>
      <c r="O35" s="13">
        <f t="shared" si="5"/>
        <v>811.8</v>
      </c>
    </row>
    <row r="36" spans="1:15" x14ac:dyDescent="0.25">
      <c r="A36" s="5" t="s">
        <v>25</v>
      </c>
      <c r="B36" s="5" t="s">
        <v>16</v>
      </c>
      <c r="C36" s="5" t="s">
        <v>27</v>
      </c>
      <c r="D36" s="5">
        <v>12</v>
      </c>
      <c r="E36" s="7">
        <v>50</v>
      </c>
      <c r="F36" s="8">
        <v>0.23</v>
      </c>
      <c r="G36" s="7">
        <f t="shared" si="1"/>
        <v>11.5</v>
      </c>
      <c r="H36" s="7">
        <f t="shared" si="2"/>
        <v>61.5</v>
      </c>
      <c r="I36" s="7">
        <f t="shared" si="3"/>
        <v>738</v>
      </c>
      <c r="L36" s="5" t="s">
        <v>32</v>
      </c>
      <c r="M36" s="12">
        <v>0.1</v>
      </c>
      <c r="N36" s="13">
        <f t="shared" si="4"/>
        <v>73.8</v>
      </c>
      <c r="O36" s="13">
        <f t="shared" si="5"/>
        <v>811.8</v>
      </c>
    </row>
    <row r="37" spans="1:15" x14ac:dyDescent="0.25">
      <c r="A37" s="5" t="s">
        <v>25</v>
      </c>
      <c r="B37" s="5" t="s">
        <v>17</v>
      </c>
      <c r="C37" s="5" t="s">
        <v>28</v>
      </c>
      <c r="D37" s="5">
        <v>12</v>
      </c>
      <c r="E37" s="7">
        <v>50</v>
      </c>
      <c r="F37" s="8">
        <v>0.23</v>
      </c>
      <c r="G37" s="7">
        <f>(E37*F37)</f>
        <v>11.5</v>
      </c>
      <c r="H37" s="7">
        <f t="shared" si="2"/>
        <v>61.5</v>
      </c>
      <c r="I37" s="7">
        <f t="shared" si="3"/>
        <v>738</v>
      </c>
      <c r="L37" s="5" t="s">
        <v>32</v>
      </c>
      <c r="M37" s="12">
        <v>0.1</v>
      </c>
      <c r="N37" s="13">
        <f t="shared" si="4"/>
        <v>73.8</v>
      </c>
      <c r="O37" s="13">
        <f t="shared" si="5"/>
        <v>811.8</v>
      </c>
    </row>
    <row r="38" spans="1:15" x14ac:dyDescent="0.25">
      <c r="A38" s="5" t="s">
        <v>25</v>
      </c>
      <c r="B38" s="5" t="s">
        <v>19</v>
      </c>
      <c r="C38" s="5" t="s">
        <v>28</v>
      </c>
      <c r="D38" s="5">
        <v>12</v>
      </c>
      <c r="E38" s="7">
        <v>50</v>
      </c>
      <c r="F38" s="8">
        <v>0.23</v>
      </c>
      <c r="G38" s="7">
        <f t="shared" si="1"/>
        <v>11.5</v>
      </c>
      <c r="H38" s="7">
        <f t="shared" si="2"/>
        <v>61.5</v>
      </c>
      <c r="I38" s="7">
        <f t="shared" si="3"/>
        <v>738</v>
      </c>
      <c r="L38" s="5" t="s">
        <v>32</v>
      </c>
      <c r="M38" s="12">
        <v>0.1</v>
      </c>
      <c r="N38" s="13">
        <f t="shared" si="4"/>
        <v>73.8</v>
      </c>
      <c r="O38" s="13">
        <f t="shared" si="5"/>
        <v>811.8</v>
      </c>
    </row>
    <row r="39" spans="1:15" x14ac:dyDescent="0.25">
      <c r="A39" s="5" t="s">
        <v>25</v>
      </c>
      <c r="B39" s="5" t="s">
        <v>20</v>
      </c>
      <c r="C39" s="5" t="s">
        <v>29</v>
      </c>
      <c r="D39" s="5">
        <v>8</v>
      </c>
      <c r="E39" s="7">
        <v>50</v>
      </c>
      <c r="F39" s="8">
        <v>0.23</v>
      </c>
      <c r="G39" s="7">
        <f t="shared" si="1"/>
        <v>11.5</v>
      </c>
      <c r="H39" s="7">
        <f t="shared" si="2"/>
        <v>61.5</v>
      </c>
      <c r="I39" s="7">
        <f t="shared" si="3"/>
        <v>492</v>
      </c>
      <c r="L39" s="5" t="s">
        <v>32</v>
      </c>
      <c r="M39" s="12">
        <v>0.1</v>
      </c>
      <c r="N39" s="13">
        <f t="shared" si="4"/>
        <v>49.2</v>
      </c>
      <c r="O39" s="13">
        <f t="shared" si="5"/>
        <v>541.20000000000005</v>
      </c>
    </row>
    <row r="40" spans="1:15" x14ac:dyDescent="0.25">
      <c r="A40" s="5" t="s">
        <v>25</v>
      </c>
      <c r="B40" s="5" t="s">
        <v>23</v>
      </c>
      <c r="C40" s="5" t="s">
        <v>29</v>
      </c>
      <c r="D40" s="5">
        <v>8</v>
      </c>
      <c r="E40" s="7">
        <v>50</v>
      </c>
      <c r="F40" s="8">
        <v>0.23</v>
      </c>
      <c r="G40" s="7">
        <f t="shared" si="1"/>
        <v>11.5</v>
      </c>
      <c r="H40" s="7">
        <f t="shared" si="2"/>
        <v>61.5</v>
      </c>
      <c r="I40" s="7">
        <f t="shared" si="3"/>
        <v>492</v>
      </c>
      <c r="L40" s="5" t="s">
        <v>32</v>
      </c>
      <c r="M40" s="12">
        <v>0.1</v>
      </c>
      <c r="N40" s="13">
        <f t="shared" si="4"/>
        <v>49.2</v>
      </c>
      <c r="O40" s="13">
        <f t="shared" si="5"/>
        <v>541.20000000000005</v>
      </c>
    </row>
    <row r="41" spans="1:15" x14ac:dyDescent="0.25">
      <c r="A41" s="5" t="s">
        <v>25</v>
      </c>
      <c r="B41" s="5" t="s">
        <v>24</v>
      </c>
      <c r="C41" s="5" t="s">
        <v>29</v>
      </c>
      <c r="D41" s="5">
        <v>8</v>
      </c>
      <c r="E41" s="7">
        <v>50</v>
      </c>
      <c r="F41" s="8">
        <v>0.23</v>
      </c>
      <c r="G41" s="7">
        <f t="shared" si="1"/>
        <v>11.5</v>
      </c>
      <c r="H41" s="7">
        <f t="shared" si="2"/>
        <v>61.5</v>
      </c>
      <c r="I41" s="7">
        <f t="shared" si="3"/>
        <v>492</v>
      </c>
      <c r="L41" s="5" t="s">
        <v>32</v>
      </c>
      <c r="M41" s="12">
        <v>0.1</v>
      </c>
      <c r="N41" s="13">
        <f t="shared" si="4"/>
        <v>49.2</v>
      </c>
      <c r="O41" s="13">
        <f t="shared" si="5"/>
        <v>541.20000000000005</v>
      </c>
    </row>
    <row r="42" spans="1:15" x14ac:dyDescent="0.25">
      <c r="E42" s="1"/>
      <c r="F42" s="1"/>
      <c r="G42" s="1"/>
      <c r="H42" s="1"/>
      <c r="I42" s="1"/>
    </row>
    <row r="43" spans="1:15" x14ac:dyDescent="0.25">
      <c r="M43" s="2" t="s">
        <v>31</v>
      </c>
      <c r="N43" s="13">
        <f>SUM(N2:N42)</f>
        <v>10641.590999999997</v>
      </c>
      <c r="O43" s="13">
        <f>SUM(O2:O42)</f>
        <v>53387.781000000017</v>
      </c>
    </row>
    <row r="44" spans="1:15" x14ac:dyDescent="0.25">
      <c r="H44" s="2" t="s">
        <v>37</v>
      </c>
      <c r="I44" s="9">
        <f>SUM(I2:I43)</f>
        <v>42746.189999999995</v>
      </c>
    </row>
  </sheetData>
  <hyperlinks>
    <hyperlink ref="L2" r:id="rId1" xr:uid="{BD19A8D0-62F4-40C5-A7C7-E51B3993C278}"/>
    <hyperlink ref="L3" r:id="rId2" xr:uid="{BAD7BE07-5238-4C2E-BFD8-E1D4AED653F9}"/>
    <hyperlink ref="L11" r:id="rId3" xr:uid="{FE96B020-ED29-4545-9E2B-F1FF1EA6A9D9}"/>
    <hyperlink ref="L4" r:id="rId4" xr:uid="{455A3048-9111-44B6-A45C-5E123A1AA42E}"/>
    <hyperlink ref="L12" r:id="rId5" xr:uid="{61B0BF16-F91E-494F-B2CA-4B23B650B5E8}"/>
    <hyperlink ref="L17" r:id="rId6" xr:uid="{6F791073-15DE-4225-B4AB-C92B3A545D7F}"/>
    <hyperlink ref="L23" r:id="rId7" xr:uid="{172793C6-9128-44BC-BD4C-9D7E4FB097B0}"/>
    <hyperlink ref="L5" r:id="rId8" xr:uid="{BB8C7137-C1C0-46C0-AA23-948823764E3F}"/>
    <hyperlink ref="L6" r:id="rId9" xr:uid="{BB26C3DC-22AF-4865-B871-43FE66FE7AB8}"/>
    <hyperlink ref="L7" r:id="rId10" xr:uid="{24973A56-781D-4269-B19A-0A667B66038D}"/>
    <hyperlink ref="L8" r:id="rId11" xr:uid="{08F9B660-B4F0-4891-9079-46CED575FED6}"/>
    <hyperlink ref="L9" r:id="rId12" xr:uid="{C4675EB5-E222-45BB-8BF8-C720FCFFE1C4}"/>
    <hyperlink ref="L10" r:id="rId13" xr:uid="{BA3CE501-201F-4DC8-B902-15CDAB244091}"/>
    <hyperlink ref="L13" r:id="rId14" xr:uid="{F287A013-E70F-468D-BCF2-41A0427DD813}"/>
    <hyperlink ref="L16" r:id="rId15" xr:uid="{D2BE5C86-DC68-4D69-874C-C86A1AE5D2FB}"/>
    <hyperlink ref="L19" r:id="rId16" xr:uid="{1267DBDD-2976-4EB4-B5A9-41FD716DF170}"/>
    <hyperlink ref="L22" r:id="rId17" xr:uid="{1AD29810-1883-424E-A07A-AF55F8B0058F}"/>
    <hyperlink ref="L25" r:id="rId18" xr:uid="{76ADBAAB-6E65-4479-92A3-71E2714E1838}"/>
    <hyperlink ref="L28" r:id="rId19" xr:uid="{BD20E8C7-7ABA-418E-B67A-3D337A86E589}"/>
    <hyperlink ref="L14" r:id="rId20" xr:uid="{46E541B4-EC98-4CEF-88A8-190BB2CCEA88}"/>
    <hyperlink ref="L15" r:id="rId21" xr:uid="{F94D9C84-C017-46C4-AFBC-750CB2345367}"/>
    <hyperlink ref="L18" r:id="rId22" xr:uid="{1494E654-BD60-4B9B-9596-C2475BE1F53F}"/>
    <hyperlink ref="L21" r:id="rId23" xr:uid="{A2787F38-71B2-41CB-A16E-483FF9D7AA1F}"/>
    <hyperlink ref="L24" r:id="rId24" xr:uid="{487C11C1-FA88-40EB-A05A-0ED678B83919}"/>
    <hyperlink ref="L20" r:id="rId25" xr:uid="{C30CCD91-ABF2-4919-9C00-78E04071698D}"/>
    <hyperlink ref="L26" r:id="rId26" xr:uid="{DF816175-1145-4F66-B0F5-74E01C29A5BC}"/>
    <hyperlink ref="L29" r:id="rId27" xr:uid="{6FCF1F13-AF91-463A-B09F-1325EE7294EA}"/>
    <hyperlink ref="L31" r:id="rId28" xr:uid="{DE6988D8-68A9-42A4-9136-EF3479181DC0}"/>
    <hyperlink ref="L27" r:id="rId29" xr:uid="{CED2BA75-D819-49D4-BF8D-0532E7464CC5}"/>
    <hyperlink ref="L30" r:id="rId30" xr:uid="{9971E42F-7B8E-4A70-A005-E533A96207C8}"/>
  </hyperlinks>
  <pageMargins left="0.75" right="0.75" top="1" bottom="1" header="0.5" footer="0.5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Saunders - STUDENT</cp:lastModifiedBy>
  <dcterms:created xsi:type="dcterms:W3CDTF">2026-01-21T09:43:28Z</dcterms:created>
  <dcterms:modified xsi:type="dcterms:W3CDTF">2026-02-02T07:17:15Z</dcterms:modified>
</cp:coreProperties>
</file>