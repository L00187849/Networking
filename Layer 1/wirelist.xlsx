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atlantictu-my.sharepoint.com/personal/l00187849_atu_ie/Documents/L00187849/L00187849/Networking/Assignment 1/Layer 1/"/>
    </mc:Choice>
  </mc:AlternateContent>
  <xr:revisionPtr revIDLastSave="529" documentId="11_F25DC773A252ABDACC10486971DF7C905BDE58E7" xr6:coauthVersionLast="47" xr6:coauthVersionMax="47" xr10:uidLastSave="{28FD8B06-2032-40D1-825E-ACB5F35A9E15}"/>
  <bookViews>
    <workbookView xWindow="-120" yWindow="-120" windowWidth="29040" windowHeight="15720" xr2:uid="{00000000-000D-0000-FFFF-FFFF00000000}"/>
  </bookViews>
  <sheets>
    <sheet name="Summary" sheetId="1" r:id="rId1"/>
    <sheet name="FD1A" sheetId="2" r:id="rId2"/>
    <sheet name="FD1B" sheetId="5" r:id="rId3"/>
    <sheet name="BD1" sheetId="3" r:id="rId4"/>
    <sheet name="CD" sheetId="4" r:id="rId5"/>
  </sheets>
  <definedNames>
    <definedName name="gig">FD1B!$M$1</definedName>
    <definedName name="switch_1000mbs">FD1A!$M$1</definedName>
    <definedName name="switch_100mbs">FD1A!$L$1</definedName>
    <definedName name="switch_10mbs">FD1A!$K$1</definedName>
    <definedName name="Total_CAT6_Cost">FD1A!$S$10</definedName>
    <definedName name="Total_Outlet_Cost">FD1A!$S$17</definedName>
    <definedName name="Total_Switch_CostFDA1">FD1A!$S$29</definedName>
    <definedName name="total100Mbs">FD1B!$L$1</definedName>
    <definedName name="TotalCAT6">FD1A!$I$2</definedName>
    <definedName name="TotalCAT6cable">FD1B!$I$1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S29" i="5"/>
  <c r="S17" i="5"/>
  <c r="S29" i="2"/>
  <c r="S28" i="2"/>
  <c r="S27" i="2"/>
  <c r="S16" i="2"/>
  <c r="S17" i="2"/>
  <c r="S15" i="2"/>
  <c r="S21" i="5"/>
  <c r="S20" i="5"/>
  <c r="S3" i="5"/>
  <c r="S5" i="5" s="1"/>
  <c r="D22" i="5"/>
  <c r="D21" i="5"/>
  <c r="D13" i="5"/>
  <c r="D12" i="5"/>
  <c r="D11" i="5"/>
  <c r="D10" i="5"/>
  <c r="D9" i="5"/>
  <c r="D8" i="5"/>
  <c r="D7" i="5"/>
  <c r="D6" i="5"/>
  <c r="D5" i="5"/>
  <c r="S27" i="5"/>
  <c r="S28" i="5" s="1"/>
  <c r="S19" i="5"/>
  <c r="S15" i="5"/>
  <c r="S16" i="5" s="1"/>
  <c r="D20" i="5"/>
  <c r="D19" i="5"/>
  <c r="D18" i="5"/>
  <c r="D17" i="5"/>
  <c r="D16" i="5"/>
  <c r="S8" i="5"/>
  <c r="S9" i="5" s="1"/>
  <c r="D15" i="5"/>
  <c r="D14" i="5"/>
  <c r="D4" i="5"/>
  <c r="M1" i="5"/>
  <c r="L1" i="5"/>
  <c r="K1" i="5"/>
  <c r="I1" i="5"/>
  <c r="G7" i="4"/>
  <c r="G4" i="4"/>
  <c r="G3" i="4"/>
  <c r="H1" i="4"/>
  <c r="H1" i="3"/>
  <c r="G4" i="3"/>
  <c r="G3" i="3"/>
  <c r="S22" i="2"/>
  <c r="S24" i="2" s="1"/>
  <c r="S21" i="2"/>
  <c r="S20" i="2"/>
  <c r="I2" i="2"/>
  <c r="I1" i="2"/>
  <c r="L1" i="2"/>
  <c r="M1" i="2"/>
  <c r="K1" i="2"/>
  <c r="S9" i="2"/>
  <c r="S8" i="2"/>
  <c r="S3" i="2"/>
  <c r="S5" i="2" s="1"/>
  <c r="S10" i="2" s="1"/>
  <c r="D7" i="2"/>
  <c r="D5" i="2"/>
  <c r="D6" i="2"/>
  <c r="D8" i="2"/>
  <c r="D9" i="2"/>
  <c r="D10" i="2"/>
  <c r="D11" i="2"/>
  <c r="D12" i="2"/>
  <c r="D13" i="2"/>
  <c r="D4" i="2"/>
  <c r="S22" i="5" l="1"/>
  <c r="S24" i="5" s="1"/>
  <c r="S10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<sst xmlns="http://schemas.openxmlformats.org/spreadsheetml/2006/main" count="276" uniqueCount="88">
  <si>
    <t>Site</t>
  </si>
  <si>
    <t xml:space="preserve">Buildings </t>
  </si>
  <si>
    <t xml:space="preserve">Floors </t>
  </si>
  <si>
    <t xml:space="preserve">Supermarket </t>
  </si>
  <si>
    <t>ForeCourt</t>
  </si>
  <si>
    <t>Test and Service</t>
  </si>
  <si>
    <t>Slow Charge</t>
  </si>
  <si>
    <t>Battery Building 1</t>
  </si>
  <si>
    <t>Battery Building 2</t>
  </si>
  <si>
    <t>Substation 1</t>
  </si>
  <si>
    <t>Substation 2</t>
  </si>
  <si>
    <t>Car Wash</t>
  </si>
  <si>
    <t>Fast Charger</t>
  </si>
  <si>
    <t>A</t>
  </si>
  <si>
    <t>B</t>
  </si>
  <si>
    <t>Building</t>
  </si>
  <si>
    <t>Floor</t>
  </si>
  <si>
    <t>Index</t>
  </si>
  <si>
    <t>Type</t>
  </si>
  <si>
    <t>Location</t>
  </si>
  <si>
    <t>Symbol</t>
  </si>
  <si>
    <t>Length</t>
  </si>
  <si>
    <t>Label</t>
  </si>
  <si>
    <t>001</t>
  </si>
  <si>
    <t>002</t>
  </si>
  <si>
    <t>003</t>
  </si>
  <si>
    <t>006</t>
  </si>
  <si>
    <t>007</t>
  </si>
  <si>
    <t>008</t>
  </si>
  <si>
    <t>009</t>
  </si>
  <si>
    <t>010</t>
  </si>
  <si>
    <t>011</t>
  </si>
  <si>
    <t>CAT 6</t>
  </si>
  <si>
    <t>Counter</t>
  </si>
  <si>
    <t>Wireless Access Point</t>
  </si>
  <si>
    <t>CCTV</t>
  </si>
  <si>
    <t>Office</t>
  </si>
  <si>
    <t>POS</t>
  </si>
  <si>
    <t>Function</t>
  </si>
  <si>
    <t>Corridor</t>
  </si>
  <si>
    <t>Circulation Space</t>
  </si>
  <si>
    <t>Store</t>
  </si>
  <si>
    <t>Front of Building</t>
  </si>
  <si>
    <t>Total</t>
  </si>
  <si>
    <t>Total CAT6</t>
  </si>
  <si>
    <t>Box</t>
  </si>
  <si>
    <t>No of Boxes</t>
  </si>
  <si>
    <t>Net per Box</t>
  </si>
  <si>
    <t xml:space="preserve">VAT Rate </t>
  </si>
  <si>
    <t>VAT Amount</t>
  </si>
  <si>
    <t xml:space="preserve">Gross </t>
  </si>
  <si>
    <t>Total CAT6 Cost</t>
  </si>
  <si>
    <t>Switch</t>
  </si>
  <si>
    <t>Total TO</t>
  </si>
  <si>
    <t>Net per TO</t>
  </si>
  <si>
    <t>10Mb/s</t>
  </si>
  <si>
    <t>100Mb/s</t>
  </si>
  <si>
    <t>1Gb/s</t>
  </si>
  <si>
    <t>Ports per Switch</t>
  </si>
  <si>
    <t>No. of Switches</t>
  </si>
  <si>
    <t>Net per Switch</t>
  </si>
  <si>
    <t>Total Switch Cost</t>
  </si>
  <si>
    <t>From</t>
  </si>
  <si>
    <t>To</t>
  </si>
  <si>
    <t>1A</t>
  </si>
  <si>
    <t>1B</t>
  </si>
  <si>
    <t xml:space="preserve">Type </t>
  </si>
  <si>
    <t xml:space="preserve">Cores </t>
  </si>
  <si>
    <t>Pairs</t>
  </si>
  <si>
    <t xml:space="preserve">Cable  </t>
  </si>
  <si>
    <t>Cable Number</t>
  </si>
  <si>
    <t>MMF</t>
  </si>
  <si>
    <t>Length MMF</t>
  </si>
  <si>
    <t>Length BC</t>
  </si>
  <si>
    <t>Coffee Area</t>
  </si>
  <si>
    <t>Seating Area</t>
  </si>
  <si>
    <t>External Stairs</t>
  </si>
  <si>
    <t>Total Cost of Floor A</t>
  </si>
  <si>
    <t>Total Cost of Floor B</t>
  </si>
  <si>
    <t>Total Outlets</t>
  </si>
  <si>
    <t>Total Outlet Cost</t>
  </si>
  <si>
    <t>Floor A cable Cost</t>
  </si>
  <si>
    <t>Floor A Outlet Cost</t>
  </si>
  <si>
    <t xml:space="preserve">Floor A Switch Cost </t>
  </si>
  <si>
    <t>Floor B cable Cost</t>
  </si>
  <si>
    <t>Floor B Outlet Cost</t>
  </si>
  <si>
    <t xml:space="preserve">Floor B Switch Cost </t>
  </si>
  <si>
    <t>Total Cost of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</si>
</sst>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€-1809]#,##0.00"/>
    <numFmt numFmtId="168" formatCode="[$€-1809]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67" fontId="0" fillId="0" borderId="1" xfId="0" applyNumberFormat="1" applyBorder="1"/>
    <xf numFmtId="9" fontId="0" fillId="0" borderId="1" xfId="1" applyFont="1" applyBorder="1"/>
    <xf numFmtId="0" fontId="2" fillId="0" borderId="0" xfId="0" applyFont="1" applyAlignment="1">
      <alignment horizontal="center"/>
    </xf>
    <xf numFmtId="168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0">
    <v>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workbookViewId="0">
      <selection activeCell="B23" sqref="B23"/>
    </sheetView>
  </sheetViews>
  <sheetFormatPr defaultRowHeight="15" x14ac:dyDescent="0.25"/>
  <cols>
    <col min="1" max="1" width="19" bestFit="1" customWidth="1"/>
    <col min="2" max="2" width="24.7109375" customWidth="1"/>
    <col min="3" max="3" width="20.5703125" customWidth="1"/>
    <col min="4" max="4" width="26.140625" customWidth="1"/>
    <col min="5" max="5" width="18.85546875" customWidth="1"/>
    <col min="6" max="6" width="24.42578125" customWidth="1"/>
    <col min="7" max="7" width="20.7109375" customWidth="1"/>
    <col min="8" max="9" width="17.5703125" customWidth="1"/>
    <col min="10" max="10" width="18.7109375" customWidth="1"/>
    <col min="11" max="11" width="18.140625" customWidth="1"/>
  </cols>
  <sheetData>
    <row r="1" spans="1:11" x14ac:dyDescent="0.25">
      <c r="A1" s="4" t="s">
        <v>0</v>
      </c>
    </row>
    <row r="2" spans="1:11" x14ac:dyDescent="0.25">
      <c r="B2" s="18" t="s">
        <v>3</v>
      </c>
      <c r="C2" s="18" t="s">
        <v>4</v>
      </c>
      <c r="D2" s="18" t="s">
        <v>5</v>
      </c>
      <c r="E2" s="18" t="s">
        <v>6</v>
      </c>
      <c r="F2" s="18" t="s">
        <v>7</v>
      </c>
      <c r="G2" s="18" t="s">
        <v>8</v>
      </c>
      <c r="H2" s="18" t="s">
        <v>9</v>
      </c>
      <c r="I2" s="18" t="s">
        <v>10</v>
      </c>
      <c r="J2" s="18" t="s">
        <v>11</v>
      </c>
      <c r="K2" s="18" t="s">
        <v>12</v>
      </c>
    </row>
    <row r="3" spans="1:11" x14ac:dyDescent="0.25">
      <c r="A3" s="2" t="s">
        <v>1</v>
      </c>
      <c r="B3" s="13">
        <v>1</v>
      </c>
      <c r="C3" s="13">
        <v>2</v>
      </c>
      <c r="D3" s="13">
        <v>3</v>
      </c>
      <c r="E3" s="13">
        <v>4</v>
      </c>
      <c r="F3" s="13">
        <v>5</v>
      </c>
      <c r="G3" s="13">
        <v>6</v>
      </c>
      <c r="H3" s="13">
        <v>7</v>
      </c>
      <c r="I3" s="13">
        <v>8</v>
      </c>
      <c r="J3" s="13">
        <v>9</v>
      </c>
      <c r="K3" s="13">
        <v>10</v>
      </c>
    </row>
    <row r="4" spans="1:11" x14ac:dyDescent="0.25">
      <c r="A4" s="2" t="s">
        <v>2</v>
      </c>
      <c r="B4" s="13" t="s">
        <v>13</v>
      </c>
      <c r="C4" s="13" t="s">
        <v>13</v>
      </c>
      <c r="D4" s="13" t="s">
        <v>13</v>
      </c>
      <c r="E4" s="13" t="s">
        <v>13</v>
      </c>
      <c r="F4" s="13" t="s">
        <v>13</v>
      </c>
      <c r="G4" s="13" t="s">
        <v>13</v>
      </c>
      <c r="H4" s="13" t="s">
        <v>13</v>
      </c>
      <c r="I4" s="13" t="s">
        <v>13</v>
      </c>
      <c r="J4" s="13" t="s">
        <v>13</v>
      </c>
      <c r="K4" s="13" t="s">
        <v>13</v>
      </c>
    </row>
    <row r="5" spans="1:11" x14ac:dyDescent="0.25">
      <c r="A5" s="19"/>
      <c r="B5" s="13" t="s">
        <v>14</v>
      </c>
      <c r="C5" s="1"/>
      <c r="D5" s="1"/>
      <c r="E5" s="1"/>
      <c r="F5" s="1"/>
      <c r="G5" s="1"/>
      <c r="H5" s="1"/>
      <c r="I5" s="1"/>
      <c r="J5" s="1"/>
      <c r="K5" s="1"/>
    </row>
    <row r="6" spans="1:11" x14ac:dyDescent="0.25">
      <c r="A6" s="19"/>
      <c r="B6" s="13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2" t="s">
        <v>81</v>
      </c>
      <c r="B7" s="9">
        <v>177.12</v>
      </c>
      <c r="C7" s="1"/>
      <c r="D7" s="1"/>
      <c r="E7" s="1"/>
      <c r="F7" s="1"/>
      <c r="G7" s="1"/>
      <c r="H7" s="1"/>
      <c r="I7" s="1"/>
      <c r="J7" s="1"/>
      <c r="K7" s="1"/>
    </row>
    <row r="8" spans="1:11" x14ac:dyDescent="0.25">
      <c r="A8" s="2" t="s">
        <v>82</v>
      </c>
      <c r="B8" s="9">
        <v>184.5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2" t="s">
        <v>83</v>
      </c>
      <c r="B9" s="9">
        <v>1845</v>
      </c>
      <c r="C9" s="1"/>
      <c r="D9" s="1"/>
      <c r="E9" s="1"/>
      <c r="F9" s="1"/>
      <c r="G9" s="1"/>
      <c r="H9" s="1"/>
      <c r="I9" s="1"/>
      <c r="J9" s="1"/>
      <c r="K9" s="1"/>
    </row>
    <row r="10" spans="1:11" x14ac:dyDescent="0.25">
      <c r="A10" s="19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19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x14ac:dyDescent="0.25">
      <c r="A12" s="2" t="s">
        <v>84</v>
      </c>
      <c r="B12" s="9">
        <v>177.12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 x14ac:dyDescent="0.25">
      <c r="A13" s="2" t="s">
        <v>85</v>
      </c>
      <c r="B13" s="9">
        <v>5535</v>
      </c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25">
      <c r="A14" s="2" t="s">
        <v>86</v>
      </c>
      <c r="B14" s="9">
        <v>1845</v>
      </c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2" t="s">
        <v>77</v>
      </c>
      <c r="B17" s="9">
        <f>SUM(B7:B9)</f>
        <v>2206.62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2" t="s">
        <v>78</v>
      </c>
      <c r="B18" s="9">
        <f t="shared" ref="B18:B19" si="0">SUM(B8:B10)</f>
        <v>2029.5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2" t="s">
        <v>87</v>
      </c>
      <c r="B19" s="9">
        <f>SUM(B17:B18)</f>
        <v>4236.12</v>
      </c>
      <c r="C19" s="1"/>
      <c r="D19" s="1"/>
      <c r="E19" s="1"/>
      <c r="F19" s="1"/>
      <c r="G19" s="1"/>
      <c r="H19" s="1"/>
      <c r="I19" s="1"/>
      <c r="J19" s="1"/>
      <c r="K1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849D-B311-4434-B0A6-40D56F750B7E}">
  <dimension ref="A1:S29"/>
  <sheetViews>
    <sheetView topLeftCell="A3" workbookViewId="0">
      <selection activeCell="S10" sqref="S10"/>
    </sheetView>
  </sheetViews>
  <sheetFormatPr defaultRowHeight="30" customHeight="1" x14ac:dyDescent="0.25"/>
  <cols>
    <col min="4" max="4" width="14.140625" customWidth="1"/>
    <col min="6" max="6" width="16.28515625" bestFit="1" customWidth="1"/>
    <col min="7" max="7" width="20.42578125" bestFit="1" customWidth="1"/>
    <col min="8" max="8" width="16.85546875" bestFit="1" customWidth="1"/>
    <col min="18" max="18" width="15.85546875" bestFit="1" customWidth="1"/>
    <col min="19" max="19" width="16.5703125" customWidth="1"/>
  </cols>
  <sheetData>
    <row r="1" spans="1:19" ht="30" customHeight="1" x14ac:dyDescent="0.25">
      <c r="H1" t="s">
        <v>43</v>
      </c>
      <c r="I1">
        <f>SUM(I3:I13)</f>
        <v>650</v>
      </c>
      <c r="K1">
        <f>SUM(K4:K13)</f>
        <v>2</v>
      </c>
      <c r="L1">
        <f t="shared" ref="L1:M1" si="0">SUM(L4:L13)</f>
        <v>5</v>
      </c>
      <c r="M1">
        <f t="shared" si="0"/>
        <v>3</v>
      </c>
    </row>
    <row r="2" spans="1:19" ht="45.75" customHeight="1" x14ac:dyDescent="0.25">
      <c r="A2" s="5"/>
      <c r="B2" s="5"/>
      <c r="C2" s="5"/>
      <c r="D2" s="6"/>
      <c r="E2" s="5"/>
      <c r="F2" s="5"/>
      <c r="G2" s="5"/>
      <c r="H2" s="4"/>
      <c r="I2">
        <f>SUM(I4:I14)</f>
        <v>650</v>
      </c>
      <c r="K2" s="11" t="s">
        <v>52</v>
      </c>
      <c r="L2" s="11"/>
      <c r="M2" s="11"/>
    </row>
    <row r="3" spans="1:19" ht="30" customHeight="1" x14ac:dyDescent="0.25">
      <c r="A3" s="3" t="s">
        <v>15</v>
      </c>
      <c r="B3" s="3" t="s">
        <v>16</v>
      </c>
      <c r="C3" s="3" t="s">
        <v>17</v>
      </c>
      <c r="D3" s="8" t="s">
        <v>22</v>
      </c>
      <c r="E3" s="3" t="s">
        <v>18</v>
      </c>
      <c r="F3" s="3" t="s">
        <v>19</v>
      </c>
      <c r="G3" s="3" t="s">
        <v>38</v>
      </c>
      <c r="H3" s="3" t="s">
        <v>20</v>
      </c>
      <c r="I3" s="3" t="s">
        <v>21</v>
      </c>
      <c r="J3" s="1"/>
      <c r="K3" s="13">
        <v>10</v>
      </c>
      <c r="L3" s="13">
        <v>100</v>
      </c>
      <c r="M3" s="13">
        <v>1000</v>
      </c>
      <c r="R3" s="2" t="s">
        <v>44</v>
      </c>
      <c r="S3" s="1">
        <f>(TotalCAT6)</f>
        <v>650</v>
      </c>
    </row>
    <row r="4" spans="1:19" ht="30" customHeight="1" x14ac:dyDescent="0.25">
      <c r="A4" s="13">
        <v>1</v>
      </c>
      <c r="B4" s="13" t="s">
        <v>13</v>
      </c>
      <c r="C4" s="14" t="s">
        <v>23</v>
      </c>
      <c r="D4" s="13" t="str">
        <f>A4 &amp; B4 &amp; C4</f>
        <v>1A001</v>
      </c>
      <c r="E4" s="13" t="s">
        <v>32</v>
      </c>
      <c r="F4" s="13" t="s">
        <v>33</v>
      </c>
      <c r="G4" s="13" t="s">
        <v>37</v>
      </c>
      <c r="H4" s="13" t="e" vm="1">
        <v>#VALUE!</v>
      </c>
      <c r="I4" s="13">
        <v>80</v>
      </c>
      <c r="J4" s="1"/>
      <c r="K4" s="13"/>
      <c r="L4" s="13"/>
      <c r="M4" s="13">
        <v>1</v>
      </c>
      <c r="R4" s="2" t="s">
        <v>45</v>
      </c>
      <c r="S4" s="1">
        <v>300</v>
      </c>
    </row>
    <row r="5" spans="1:19" ht="30" customHeight="1" x14ac:dyDescent="0.25">
      <c r="A5" s="13">
        <v>1</v>
      </c>
      <c r="B5" s="13" t="s">
        <v>13</v>
      </c>
      <c r="C5" s="14" t="s">
        <v>24</v>
      </c>
      <c r="D5" s="13" t="str">
        <f t="shared" ref="D5:D13" si="1">A5 &amp; B5 &amp; C5</f>
        <v>1A002</v>
      </c>
      <c r="E5" s="13" t="s">
        <v>32</v>
      </c>
      <c r="F5" s="13" t="s">
        <v>33</v>
      </c>
      <c r="G5" s="13" t="s">
        <v>37</v>
      </c>
      <c r="H5" s="13" t="e" vm="1">
        <v>#VALUE!</v>
      </c>
      <c r="I5" s="13">
        <v>80</v>
      </c>
      <c r="J5" s="1"/>
      <c r="K5" s="13"/>
      <c r="L5" s="13"/>
      <c r="M5" s="13">
        <v>1</v>
      </c>
      <c r="R5" s="2" t="s">
        <v>46</v>
      </c>
      <c r="S5" s="1">
        <f>ROUNDUP(S3/S4,0)</f>
        <v>3</v>
      </c>
    </row>
    <row r="6" spans="1:19" ht="30" customHeight="1" x14ac:dyDescent="0.25">
      <c r="A6" s="13">
        <v>1</v>
      </c>
      <c r="B6" s="13" t="s">
        <v>13</v>
      </c>
      <c r="C6" s="14" t="s">
        <v>25</v>
      </c>
      <c r="D6" s="13" t="str">
        <f t="shared" si="1"/>
        <v>1A003</v>
      </c>
      <c r="E6" s="13" t="s">
        <v>32</v>
      </c>
      <c r="F6" s="13" t="s">
        <v>33</v>
      </c>
      <c r="G6" s="13" t="s">
        <v>37</v>
      </c>
      <c r="H6" s="13" t="e" vm="1">
        <v>#VALUE!</v>
      </c>
      <c r="I6" s="13">
        <v>80</v>
      </c>
      <c r="J6" s="1"/>
      <c r="K6" s="13"/>
      <c r="L6" s="13"/>
      <c r="M6" s="13">
        <v>1</v>
      </c>
      <c r="R6" s="2" t="s">
        <v>47</v>
      </c>
      <c r="S6" s="9">
        <v>48</v>
      </c>
    </row>
    <row r="7" spans="1:19" ht="30" customHeight="1" x14ac:dyDescent="0.25">
      <c r="A7" s="13">
        <v>1</v>
      </c>
      <c r="B7" s="13" t="s">
        <v>13</v>
      </c>
      <c r="C7" s="14" t="s">
        <v>26</v>
      </c>
      <c r="D7" s="13" t="str">
        <f t="shared" ref="D7" si="2">A7 &amp; B7 &amp; C7</f>
        <v>1A006</v>
      </c>
      <c r="E7" s="13" t="s">
        <v>32</v>
      </c>
      <c r="F7" s="13" t="s">
        <v>39</v>
      </c>
      <c r="G7" s="13" t="s">
        <v>34</v>
      </c>
      <c r="H7" s="13" t="e" vm="2">
        <v>#VALUE!</v>
      </c>
      <c r="I7" s="13">
        <v>60</v>
      </c>
      <c r="J7" s="1"/>
      <c r="K7" s="13">
        <v>1</v>
      </c>
      <c r="L7" s="13"/>
      <c r="M7" s="13"/>
      <c r="R7" s="2" t="s">
        <v>48</v>
      </c>
      <c r="S7" s="10">
        <v>0.23</v>
      </c>
    </row>
    <row r="8" spans="1:19" ht="30" customHeight="1" x14ac:dyDescent="0.25">
      <c r="A8" s="13">
        <v>1</v>
      </c>
      <c r="B8" s="13" t="s">
        <v>13</v>
      </c>
      <c r="C8" s="14" t="s">
        <v>26</v>
      </c>
      <c r="D8" s="13" t="str">
        <f t="shared" si="1"/>
        <v>1A006</v>
      </c>
      <c r="E8" s="13" t="s">
        <v>32</v>
      </c>
      <c r="F8" s="13" t="s">
        <v>40</v>
      </c>
      <c r="G8" s="13" t="s">
        <v>34</v>
      </c>
      <c r="H8" s="13" t="e" vm="2">
        <v>#VALUE!</v>
      </c>
      <c r="I8" s="13">
        <v>60</v>
      </c>
      <c r="J8" s="1"/>
      <c r="K8" s="13">
        <v>1</v>
      </c>
      <c r="L8" s="13"/>
      <c r="M8" s="13"/>
      <c r="R8" s="2" t="s">
        <v>49</v>
      </c>
      <c r="S8" s="9">
        <f>SUM(S6*S7)</f>
        <v>11.040000000000001</v>
      </c>
    </row>
    <row r="9" spans="1:19" ht="30" customHeight="1" x14ac:dyDescent="0.25">
      <c r="A9" s="13">
        <v>1</v>
      </c>
      <c r="B9" s="13" t="s">
        <v>13</v>
      </c>
      <c r="C9" s="14" t="s">
        <v>27</v>
      </c>
      <c r="D9" s="13" t="str">
        <f t="shared" si="1"/>
        <v>1A007</v>
      </c>
      <c r="E9" s="13" t="s">
        <v>32</v>
      </c>
      <c r="F9" s="13" t="s">
        <v>41</v>
      </c>
      <c r="G9" s="13" t="s">
        <v>35</v>
      </c>
      <c r="H9" s="13" t="e" vm="3">
        <v>#VALUE!</v>
      </c>
      <c r="I9" s="13">
        <v>40</v>
      </c>
      <c r="J9" s="1"/>
      <c r="K9" s="13"/>
      <c r="L9" s="13">
        <v>1</v>
      </c>
      <c r="M9" s="13"/>
      <c r="R9" s="2" t="s">
        <v>50</v>
      </c>
      <c r="S9" s="9">
        <f>SUM(S6+S8)</f>
        <v>59.04</v>
      </c>
    </row>
    <row r="10" spans="1:19" ht="30" customHeight="1" x14ac:dyDescent="0.25">
      <c r="A10" s="13">
        <v>1</v>
      </c>
      <c r="B10" s="13" t="s">
        <v>13</v>
      </c>
      <c r="C10" s="14" t="s">
        <v>28</v>
      </c>
      <c r="D10" s="13" t="str">
        <f t="shared" si="1"/>
        <v>1A008</v>
      </c>
      <c r="E10" s="13" t="s">
        <v>32</v>
      </c>
      <c r="F10" s="13" t="s">
        <v>36</v>
      </c>
      <c r="G10" s="13" t="s">
        <v>35</v>
      </c>
      <c r="H10" s="13" t="e" vm="3">
        <v>#VALUE!</v>
      </c>
      <c r="I10" s="13">
        <v>40</v>
      </c>
      <c r="J10" s="1"/>
      <c r="K10" s="13"/>
      <c r="L10" s="13">
        <v>1</v>
      </c>
      <c r="M10" s="13"/>
      <c r="R10" s="2" t="s">
        <v>51</v>
      </c>
      <c r="S10" s="9">
        <f>(S9*S5)</f>
        <v>177.12</v>
      </c>
    </row>
    <row r="11" spans="1:19" ht="30" customHeight="1" x14ac:dyDescent="0.25">
      <c r="A11" s="13">
        <v>1</v>
      </c>
      <c r="B11" s="13" t="s">
        <v>13</v>
      </c>
      <c r="C11" s="14" t="s">
        <v>29</v>
      </c>
      <c r="D11" s="13" t="str">
        <f t="shared" si="1"/>
        <v>1A009</v>
      </c>
      <c r="E11" s="13" t="s">
        <v>32</v>
      </c>
      <c r="F11" s="13" t="s">
        <v>42</v>
      </c>
      <c r="G11" s="13" t="s">
        <v>35</v>
      </c>
      <c r="H11" s="13" t="e" vm="3">
        <v>#VALUE!</v>
      </c>
      <c r="I11" s="13">
        <v>70</v>
      </c>
      <c r="J11" s="1"/>
      <c r="K11" s="13"/>
      <c r="L11" s="13">
        <v>1</v>
      </c>
      <c r="M11" s="13"/>
    </row>
    <row r="12" spans="1:19" ht="30" customHeight="1" x14ac:dyDescent="0.25">
      <c r="A12" s="13">
        <v>1</v>
      </c>
      <c r="B12" s="13" t="s">
        <v>13</v>
      </c>
      <c r="C12" s="14" t="s">
        <v>30</v>
      </c>
      <c r="D12" s="13" t="str">
        <f t="shared" si="1"/>
        <v>1A010</v>
      </c>
      <c r="E12" s="13" t="s">
        <v>32</v>
      </c>
      <c r="F12" s="13" t="s">
        <v>42</v>
      </c>
      <c r="G12" s="13" t="s">
        <v>35</v>
      </c>
      <c r="H12" s="13" t="e" vm="3">
        <v>#VALUE!</v>
      </c>
      <c r="I12" s="13">
        <v>70</v>
      </c>
      <c r="J12" s="1"/>
      <c r="K12" s="13"/>
      <c r="L12" s="13">
        <v>1</v>
      </c>
      <c r="M12" s="13"/>
      <c r="R12" s="2" t="s">
        <v>79</v>
      </c>
      <c r="S12" s="1">
        <v>20</v>
      </c>
    </row>
    <row r="13" spans="1:19" ht="30" customHeight="1" x14ac:dyDescent="0.25">
      <c r="A13" s="13">
        <v>1</v>
      </c>
      <c r="B13" s="13" t="s">
        <v>13</v>
      </c>
      <c r="C13" s="14" t="s">
        <v>31</v>
      </c>
      <c r="D13" s="13" t="str">
        <f t="shared" si="1"/>
        <v>1A011</v>
      </c>
      <c r="E13" s="13" t="s">
        <v>32</v>
      </c>
      <c r="F13" s="13" t="s">
        <v>39</v>
      </c>
      <c r="G13" s="13" t="s">
        <v>35</v>
      </c>
      <c r="H13" s="13" t="e" vm="3">
        <v>#VALUE!</v>
      </c>
      <c r="I13" s="13">
        <v>70</v>
      </c>
      <c r="J13" s="1"/>
      <c r="K13" s="13"/>
      <c r="L13" s="13">
        <v>1</v>
      </c>
      <c r="M13" s="13"/>
      <c r="R13" s="2" t="s">
        <v>54</v>
      </c>
      <c r="S13" s="9">
        <v>150</v>
      </c>
    </row>
    <row r="14" spans="1:19" ht="30" customHeight="1" x14ac:dyDescent="0.25">
      <c r="A14" s="5"/>
      <c r="B14" s="5"/>
      <c r="C14" s="7"/>
      <c r="D14" s="5"/>
      <c r="E14" s="5"/>
      <c r="F14" s="5"/>
      <c r="G14" s="5"/>
      <c r="H14" s="5"/>
      <c r="I14" s="5"/>
      <c r="R14" s="2" t="s">
        <v>48</v>
      </c>
      <c r="S14" s="10">
        <v>0.23</v>
      </c>
    </row>
    <row r="15" spans="1:19" ht="30" customHeight="1" x14ac:dyDescent="0.25">
      <c r="A15" s="5"/>
      <c r="B15" s="5"/>
      <c r="C15" s="7"/>
      <c r="D15" s="5"/>
      <c r="E15" s="5"/>
      <c r="F15" s="5"/>
      <c r="G15" s="5"/>
      <c r="H15" s="5"/>
      <c r="I15" s="5"/>
      <c r="R15" s="2" t="s">
        <v>49</v>
      </c>
      <c r="S15" s="9">
        <f>SUM(S13*S14)</f>
        <v>34.5</v>
      </c>
    </row>
    <row r="16" spans="1:19" ht="30" customHeight="1" x14ac:dyDescent="0.25">
      <c r="A16" s="5"/>
      <c r="B16" s="5"/>
      <c r="C16" s="7"/>
      <c r="D16" s="5"/>
      <c r="E16" s="5"/>
      <c r="F16" s="5"/>
      <c r="G16" s="5"/>
      <c r="H16" s="5"/>
      <c r="I16" s="5"/>
      <c r="R16" s="2" t="s">
        <v>50</v>
      </c>
      <c r="S16" s="9">
        <f>SUM(S13+S15)</f>
        <v>184.5</v>
      </c>
    </row>
    <row r="17" spans="1:19" ht="30" customHeight="1" x14ac:dyDescent="0.25">
      <c r="A17" s="5"/>
      <c r="B17" s="5"/>
      <c r="C17" s="7"/>
      <c r="D17" s="5"/>
      <c r="E17" s="5"/>
      <c r="F17" s="5"/>
      <c r="G17" s="5"/>
      <c r="H17" s="5"/>
      <c r="I17" s="5"/>
      <c r="R17" s="2" t="s">
        <v>80</v>
      </c>
      <c r="S17" s="12">
        <f>(S16*S12)</f>
        <v>3690</v>
      </c>
    </row>
    <row r="18" spans="1:19" ht="30" customHeight="1" x14ac:dyDescent="0.25">
      <c r="A18" s="5"/>
      <c r="B18" s="5"/>
      <c r="C18" s="7"/>
      <c r="D18" s="5"/>
      <c r="E18" s="5"/>
      <c r="F18" s="5"/>
      <c r="G18" s="5"/>
      <c r="H18" s="5"/>
      <c r="I18" s="5"/>
    </row>
    <row r="19" spans="1:19" ht="30" customHeight="1" x14ac:dyDescent="0.25">
      <c r="A19" s="5"/>
      <c r="B19" s="5"/>
      <c r="C19" s="7"/>
      <c r="D19" s="5"/>
      <c r="E19" s="5"/>
      <c r="F19" s="5"/>
      <c r="G19" s="5"/>
      <c r="H19" s="5"/>
      <c r="I19" s="5"/>
      <c r="R19" s="2" t="s">
        <v>55</v>
      </c>
      <c r="S19" s="1">
        <v>2</v>
      </c>
    </row>
    <row r="20" spans="1:19" ht="30" customHeight="1" x14ac:dyDescent="0.25">
      <c r="A20" s="5"/>
      <c r="B20" s="5"/>
      <c r="C20" s="7"/>
      <c r="D20" s="5"/>
      <c r="E20" s="5"/>
      <c r="F20" s="5"/>
      <c r="G20" s="5"/>
      <c r="H20" s="5"/>
      <c r="I20" s="5"/>
      <c r="R20" s="2" t="s">
        <v>56</v>
      </c>
      <c r="S20" s="1">
        <f>switch_100mbs</f>
        <v>5</v>
      </c>
    </row>
    <row r="21" spans="1:19" ht="30" customHeight="1" x14ac:dyDescent="0.25">
      <c r="R21" s="2" t="s">
        <v>57</v>
      </c>
      <c r="S21" s="1">
        <f>switch_1000mbs</f>
        <v>3</v>
      </c>
    </row>
    <row r="22" spans="1:19" ht="30" customHeight="1" x14ac:dyDescent="0.25">
      <c r="R22" s="2" t="s">
        <v>43</v>
      </c>
      <c r="S22" s="1">
        <f>SUM(S19:S21)</f>
        <v>10</v>
      </c>
    </row>
    <row r="23" spans="1:19" ht="30" customHeight="1" x14ac:dyDescent="0.25">
      <c r="R23" s="2" t="s">
        <v>58</v>
      </c>
      <c r="S23" s="1">
        <v>24</v>
      </c>
    </row>
    <row r="24" spans="1:19" ht="30" customHeight="1" x14ac:dyDescent="0.25">
      <c r="R24" s="2" t="s">
        <v>59</v>
      </c>
      <c r="S24" s="1">
        <f>ROUNDUP(S22/S23,0)</f>
        <v>1</v>
      </c>
    </row>
    <row r="25" spans="1:19" ht="30" customHeight="1" x14ac:dyDescent="0.25">
      <c r="R25" s="2" t="s">
        <v>60</v>
      </c>
      <c r="S25" s="9">
        <v>1500</v>
      </c>
    </row>
    <row r="26" spans="1:19" ht="30" customHeight="1" x14ac:dyDescent="0.25">
      <c r="R26" s="2" t="s">
        <v>48</v>
      </c>
      <c r="S26" s="10">
        <v>0.23</v>
      </c>
    </row>
    <row r="27" spans="1:19" ht="30" customHeight="1" x14ac:dyDescent="0.25">
      <c r="R27" s="2" t="s">
        <v>49</v>
      </c>
      <c r="S27" s="9">
        <f>SUM(S25*S26)</f>
        <v>345</v>
      </c>
    </row>
    <row r="28" spans="1:19" ht="30" customHeight="1" x14ac:dyDescent="0.25">
      <c r="R28" s="2" t="s">
        <v>50</v>
      </c>
      <c r="S28" s="12">
        <f>SUM(S25+S27)</f>
        <v>1845</v>
      </c>
    </row>
    <row r="29" spans="1:19" ht="30" customHeight="1" x14ac:dyDescent="0.25">
      <c r="R29" s="2" t="s">
        <v>61</v>
      </c>
      <c r="S29" s="12">
        <f>(S28*S24)</f>
        <v>1845</v>
      </c>
    </row>
  </sheetData>
  <mergeCells count="1">
    <mergeCell ref="K2:M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2CD04-B2F8-46F2-87C3-F4815FBB6DBD}">
  <dimension ref="A1:S29"/>
  <sheetViews>
    <sheetView topLeftCell="A16" workbookViewId="0">
      <selection activeCell="E28" sqref="E28"/>
    </sheetView>
  </sheetViews>
  <sheetFormatPr defaultRowHeight="15" x14ac:dyDescent="0.25"/>
  <cols>
    <col min="4" max="4" width="14.140625" customWidth="1"/>
    <col min="6" max="6" width="16.28515625" bestFit="1" customWidth="1"/>
    <col min="7" max="7" width="20.42578125" bestFit="1" customWidth="1"/>
    <col min="8" max="8" width="16.85546875" bestFit="1" customWidth="1"/>
    <col min="18" max="18" width="15.85546875" bestFit="1" customWidth="1"/>
    <col min="19" max="19" width="16.5703125" customWidth="1"/>
  </cols>
  <sheetData>
    <row r="1" spans="1:19" ht="30" customHeight="1" x14ac:dyDescent="0.25">
      <c r="H1" t="s">
        <v>43</v>
      </c>
      <c r="I1">
        <f>SUM(I3:I20)</f>
        <v>1370</v>
      </c>
      <c r="K1">
        <f>SUM(K4:K20)</f>
        <v>2</v>
      </c>
      <c r="L1">
        <f>SUM(L4:L20)</f>
        <v>15</v>
      </c>
      <c r="M1">
        <f>SUM(M4:M20)</f>
        <v>0</v>
      </c>
    </row>
    <row r="2" spans="1:19" ht="45.75" customHeight="1" x14ac:dyDescent="0.25">
      <c r="A2" s="5"/>
      <c r="B2" s="5"/>
      <c r="C2" s="5"/>
      <c r="D2" s="6"/>
      <c r="E2" s="5"/>
      <c r="F2" s="5"/>
      <c r="G2" s="5"/>
      <c r="H2" s="4"/>
      <c r="K2" s="11" t="s">
        <v>52</v>
      </c>
      <c r="L2" s="11"/>
      <c r="M2" s="11"/>
    </row>
    <row r="3" spans="1:19" ht="30" customHeight="1" x14ac:dyDescent="0.25">
      <c r="A3" s="3" t="s">
        <v>15</v>
      </c>
      <c r="B3" s="3" t="s">
        <v>16</v>
      </c>
      <c r="C3" s="3" t="s">
        <v>17</v>
      </c>
      <c r="D3" s="8" t="s">
        <v>22</v>
      </c>
      <c r="E3" s="3" t="s">
        <v>18</v>
      </c>
      <c r="F3" s="3" t="s">
        <v>19</v>
      </c>
      <c r="G3" s="3" t="s">
        <v>38</v>
      </c>
      <c r="H3" s="3" t="s">
        <v>20</v>
      </c>
      <c r="I3" s="3" t="s">
        <v>21</v>
      </c>
      <c r="J3" s="1"/>
      <c r="K3" s="13">
        <v>10</v>
      </c>
      <c r="L3" s="13">
        <v>100</v>
      </c>
      <c r="M3" s="13">
        <v>1000</v>
      </c>
      <c r="R3" s="2" t="s">
        <v>44</v>
      </c>
      <c r="S3" s="1">
        <f>(TotalCAT6cable)</f>
        <v>1370</v>
      </c>
    </row>
    <row r="4" spans="1:19" ht="30" customHeight="1" x14ac:dyDescent="0.25">
      <c r="A4" s="13">
        <v>1</v>
      </c>
      <c r="B4" s="13" t="s">
        <v>14</v>
      </c>
      <c r="C4" s="14" t="s">
        <v>23</v>
      </c>
      <c r="D4" s="13" t="str">
        <f>A4 &amp; B4 &amp; C4</f>
        <v>1B001</v>
      </c>
      <c r="E4" s="13" t="s">
        <v>32</v>
      </c>
      <c r="F4" s="13" t="s">
        <v>74</v>
      </c>
      <c r="G4" s="13" t="s">
        <v>75</v>
      </c>
      <c r="H4" s="13" t="e" vm="4">
        <v>#VALUE!</v>
      </c>
      <c r="I4" s="13">
        <v>100</v>
      </c>
      <c r="J4" s="1"/>
      <c r="K4" s="13"/>
      <c r="L4" s="13">
        <v>1</v>
      </c>
      <c r="M4" s="13"/>
      <c r="R4" s="2" t="s">
        <v>45</v>
      </c>
      <c r="S4" s="1">
        <v>300</v>
      </c>
    </row>
    <row r="5" spans="1:19" ht="30" customHeight="1" x14ac:dyDescent="0.25">
      <c r="A5" s="13">
        <v>1</v>
      </c>
      <c r="B5" s="13" t="s">
        <v>14</v>
      </c>
      <c r="C5" s="14" t="s">
        <v>23</v>
      </c>
      <c r="D5" s="13" t="str">
        <f>A5 &amp; B5 &amp; C5</f>
        <v>1B001</v>
      </c>
      <c r="E5" s="13" t="s">
        <v>32</v>
      </c>
      <c r="F5" s="13" t="s">
        <v>74</v>
      </c>
      <c r="G5" s="13" t="s">
        <v>75</v>
      </c>
      <c r="H5" s="13" t="e" vm="4">
        <v>#VALUE!</v>
      </c>
      <c r="I5" s="13">
        <v>100</v>
      </c>
      <c r="J5" s="1"/>
      <c r="K5" s="13"/>
      <c r="L5" s="13">
        <v>1</v>
      </c>
      <c r="M5" s="13"/>
      <c r="R5" s="2" t="s">
        <v>46</v>
      </c>
      <c r="S5" s="1">
        <f>ROUNDUP(S3/S4,0)</f>
        <v>5</v>
      </c>
    </row>
    <row r="6" spans="1:19" ht="30" customHeight="1" x14ac:dyDescent="0.25">
      <c r="A6" s="13">
        <v>1</v>
      </c>
      <c r="B6" s="13" t="s">
        <v>14</v>
      </c>
      <c r="C6" s="14" t="s">
        <v>23</v>
      </c>
      <c r="D6" s="13" t="str">
        <f>A6 &amp; B6 &amp; C6</f>
        <v>1B001</v>
      </c>
      <c r="E6" s="13" t="s">
        <v>32</v>
      </c>
      <c r="F6" s="13" t="s">
        <v>74</v>
      </c>
      <c r="G6" s="13" t="s">
        <v>75</v>
      </c>
      <c r="H6" s="13" t="e" vm="4">
        <v>#VALUE!</v>
      </c>
      <c r="I6" s="13">
        <v>100</v>
      </c>
      <c r="J6" s="1"/>
      <c r="K6" s="13"/>
      <c r="L6" s="13">
        <v>1</v>
      </c>
      <c r="M6" s="13"/>
      <c r="R6" s="2" t="s">
        <v>47</v>
      </c>
      <c r="S6" s="9">
        <v>48</v>
      </c>
    </row>
    <row r="7" spans="1:19" ht="30" customHeight="1" x14ac:dyDescent="0.25">
      <c r="A7" s="13">
        <v>1</v>
      </c>
      <c r="B7" s="13" t="s">
        <v>14</v>
      </c>
      <c r="C7" s="14" t="s">
        <v>23</v>
      </c>
      <c r="D7" s="13" t="str">
        <f>A7 &amp; B7 &amp; C7</f>
        <v>1B001</v>
      </c>
      <c r="E7" s="13" t="s">
        <v>32</v>
      </c>
      <c r="F7" s="13" t="s">
        <v>74</v>
      </c>
      <c r="G7" s="13" t="s">
        <v>75</v>
      </c>
      <c r="H7" s="13" t="e" vm="4">
        <v>#VALUE!</v>
      </c>
      <c r="I7" s="13">
        <v>100</v>
      </c>
      <c r="J7" s="1"/>
      <c r="K7" s="13"/>
      <c r="L7" s="13">
        <v>1</v>
      </c>
      <c r="M7" s="13"/>
      <c r="R7" s="2" t="s">
        <v>48</v>
      </c>
      <c r="S7" s="10">
        <v>0.23</v>
      </c>
    </row>
    <row r="8" spans="1:19" ht="30" customHeight="1" x14ac:dyDescent="0.25">
      <c r="A8" s="13">
        <v>1</v>
      </c>
      <c r="B8" s="13" t="s">
        <v>14</v>
      </c>
      <c r="C8" s="14" t="s">
        <v>23</v>
      </c>
      <c r="D8" s="13" t="str">
        <f>A8 &amp; B8 &amp; C8</f>
        <v>1B001</v>
      </c>
      <c r="E8" s="13" t="s">
        <v>32</v>
      </c>
      <c r="F8" s="13" t="s">
        <v>74</v>
      </c>
      <c r="G8" s="13" t="s">
        <v>75</v>
      </c>
      <c r="H8" s="13" t="e" vm="4">
        <v>#VALUE!</v>
      </c>
      <c r="I8" s="13">
        <v>100</v>
      </c>
      <c r="J8" s="1"/>
      <c r="K8" s="13"/>
      <c r="L8" s="13">
        <v>1</v>
      </c>
      <c r="M8" s="13"/>
      <c r="R8" s="2" t="s">
        <v>49</v>
      </c>
      <c r="S8" s="9">
        <f>SUM(S6*S7)</f>
        <v>11.040000000000001</v>
      </c>
    </row>
    <row r="9" spans="1:19" ht="30" customHeight="1" x14ac:dyDescent="0.25">
      <c r="A9" s="13">
        <v>1</v>
      </c>
      <c r="B9" s="13" t="s">
        <v>14</v>
      </c>
      <c r="C9" s="14" t="s">
        <v>23</v>
      </c>
      <c r="D9" s="13" t="str">
        <f>A9 &amp; B9 &amp; C9</f>
        <v>1B001</v>
      </c>
      <c r="E9" s="13" t="s">
        <v>32</v>
      </c>
      <c r="F9" s="13" t="s">
        <v>74</v>
      </c>
      <c r="G9" s="13" t="s">
        <v>75</v>
      </c>
      <c r="H9" s="13" t="e" vm="4">
        <v>#VALUE!</v>
      </c>
      <c r="I9" s="13">
        <v>100</v>
      </c>
      <c r="J9" s="1"/>
      <c r="K9" s="13"/>
      <c r="L9" s="13">
        <v>1</v>
      </c>
      <c r="M9" s="13"/>
      <c r="R9" s="2" t="s">
        <v>50</v>
      </c>
      <c r="S9" s="9">
        <f>SUM(S6+S8)</f>
        <v>59.04</v>
      </c>
    </row>
    <row r="10" spans="1:19" ht="30" customHeight="1" x14ac:dyDescent="0.25">
      <c r="A10" s="13">
        <v>1</v>
      </c>
      <c r="B10" s="13" t="s">
        <v>14</v>
      </c>
      <c r="C10" s="14" t="s">
        <v>23</v>
      </c>
      <c r="D10" s="13" t="str">
        <f>A10 &amp; B10 &amp; C10</f>
        <v>1B001</v>
      </c>
      <c r="E10" s="13" t="s">
        <v>32</v>
      </c>
      <c r="F10" s="13" t="s">
        <v>74</v>
      </c>
      <c r="G10" s="13" t="s">
        <v>75</v>
      </c>
      <c r="H10" s="13" t="e" vm="4">
        <v>#VALUE!</v>
      </c>
      <c r="I10" s="13">
        <v>100</v>
      </c>
      <c r="J10" s="1"/>
      <c r="K10" s="13"/>
      <c r="L10" s="13">
        <v>1</v>
      </c>
      <c r="M10" s="13"/>
      <c r="R10" s="2" t="s">
        <v>51</v>
      </c>
      <c r="S10" s="9">
        <f>(S9*S5)</f>
        <v>295.2</v>
      </c>
    </row>
    <row r="11" spans="1:19" ht="30" customHeight="1" x14ac:dyDescent="0.25">
      <c r="A11" s="13">
        <v>1</v>
      </c>
      <c r="B11" s="13" t="s">
        <v>14</v>
      </c>
      <c r="C11" s="14" t="s">
        <v>23</v>
      </c>
      <c r="D11" s="13" t="str">
        <f>A11 &amp; B11 &amp; C11</f>
        <v>1B001</v>
      </c>
      <c r="E11" s="13" t="s">
        <v>32</v>
      </c>
      <c r="F11" s="13" t="s">
        <v>74</v>
      </c>
      <c r="G11" s="13" t="s">
        <v>75</v>
      </c>
      <c r="H11" s="13" t="e" vm="4">
        <v>#VALUE!</v>
      </c>
      <c r="I11" s="13">
        <v>100</v>
      </c>
      <c r="J11" s="1"/>
      <c r="K11" s="13"/>
      <c r="L11" s="13">
        <v>1</v>
      </c>
      <c r="M11" s="13"/>
    </row>
    <row r="12" spans="1:19" ht="30" customHeight="1" x14ac:dyDescent="0.25">
      <c r="A12" s="13">
        <v>1</v>
      </c>
      <c r="B12" s="13" t="s">
        <v>14</v>
      </c>
      <c r="C12" s="14" t="s">
        <v>23</v>
      </c>
      <c r="D12" s="13" t="str">
        <f>A12 &amp; B12 &amp; C12</f>
        <v>1B001</v>
      </c>
      <c r="E12" s="13" t="s">
        <v>32</v>
      </c>
      <c r="F12" s="13" t="s">
        <v>74</v>
      </c>
      <c r="G12" s="13" t="s">
        <v>75</v>
      </c>
      <c r="H12" s="13" t="e" vm="4">
        <v>#VALUE!</v>
      </c>
      <c r="I12" s="13">
        <v>100</v>
      </c>
      <c r="J12" s="1"/>
      <c r="K12" s="13"/>
      <c r="L12" s="13">
        <v>1</v>
      </c>
      <c r="M12" s="13"/>
      <c r="R12" s="2" t="s">
        <v>53</v>
      </c>
      <c r="S12" s="1">
        <v>30</v>
      </c>
    </row>
    <row r="13" spans="1:19" ht="30" customHeight="1" x14ac:dyDescent="0.25">
      <c r="A13" s="13">
        <v>1</v>
      </c>
      <c r="B13" s="13" t="s">
        <v>14</v>
      </c>
      <c r="C13" s="14" t="s">
        <v>23</v>
      </c>
      <c r="D13" s="13" t="str">
        <f>A13 &amp; B13 &amp; C13</f>
        <v>1B001</v>
      </c>
      <c r="E13" s="13" t="s">
        <v>32</v>
      </c>
      <c r="F13" s="13" t="s">
        <v>74</v>
      </c>
      <c r="G13" s="13" t="s">
        <v>75</v>
      </c>
      <c r="H13" s="13" t="e" vm="4">
        <v>#VALUE!</v>
      </c>
      <c r="I13" s="13">
        <v>100</v>
      </c>
      <c r="J13" s="1"/>
      <c r="K13" s="13"/>
      <c r="L13" s="13">
        <v>1</v>
      </c>
      <c r="M13" s="13"/>
      <c r="R13" s="2" t="s">
        <v>54</v>
      </c>
      <c r="S13" s="9">
        <v>150</v>
      </c>
    </row>
    <row r="14" spans="1:19" ht="30" customHeight="1" x14ac:dyDescent="0.25">
      <c r="A14" s="13">
        <v>1</v>
      </c>
      <c r="B14" s="13" t="s">
        <v>14</v>
      </c>
      <c r="C14" s="14" t="s">
        <v>26</v>
      </c>
      <c r="D14" s="13" t="str">
        <f t="shared" ref="D14:D20" si="0">A14 &amp; B14 &amp; C14</f>
        <v>1B006</v>
      </c>
      <c r="E14" s="13" t="s">
        <v>32</v>
      </c>
      <c r="F14" s="13" t="s">
        <v>74</v>
      </c>
      <c r="G14" s="13" t="s">
        <v>34</v>
      </c>
      <c r="H14" s="13" t="e" vm="2">
        <v>#VALUE!</v>
      </c>
      <c r="I14" s="13">
        <v>60</v>
      </c>
      <c r="J14" s="1"/>
      <c r="K14" s="13">
        <v>1</v>
      </c>
      <c r="L14" s="13"/>
      <c r="M14" s="13"/>
      <c r="R14" s="2" t="s">
        <v>48</v>
      </c>
      <c r="S14" s="10">
        <v>0.23</v>
      </c>
    </row>
    <row r="15" spans="1:19" ht="30" customHeight="1" x14ac:dyDescent="0.25">
      <c r="A15" s="13">
        <v>1</v>
      </c>
      <c r="B15" s="13" t="s">
        <v>14</v>
      </c>
      <c r="C15" s="14" t="s">
        <v>26</v>
      </c>
      <c r="D15" s="13" t="str">
        <f t="shared" si="0"/>
        <v>1B006</v>
      </c>
      <c r="E15" s="13" t="s">
        <v>32</v>
      </c>
      <c r="F15" s="13" t="s">
        <v>76</v>
      </c>
      <c r="G15" s="13" t="s">
        <v>34</v>
      </c>
      <c r="H15" s="13" t="e" vm="2">
        <v>#VALUE!</v>
      </c>
      <c r="I15" s="13">
        <v>20</v>
      </c>
      <c r="J15" s="1"/>
      <c r="K15" s="13">
        <v>1</v>
      </c>
      <c r="L15" s="13"/>
      <c r="M15" s="13"/>
      <c r="R15" s="2" t="s">
        <v>49</v>
      </c>
      <c r="S15" s="9">
        <f>SUM(S13*S14)</f>
        <v>34.5</v>
      </c>
    </row>
    <row r="16" spans="1:19" ht="30" customHeight="1" x14ac:dyDescent="0.25">
      <c r="A16" s="13">
        <v>1</v>
      </c>
      <c r="B16" s="13" t="s">
        <v>14</v>
      </c>
      <c r="C16" s="14" t="s">
        <v>27</v>
      </c>
      <c r="D16" s="13" t="str">
        <f t="shared" si="0"/>
        <v>1B007</v>
      </c>
      <c r="E16" s="13" t="s">
        <v>32</v>
      </c>
      <c r="F16" s="13" t="s">
        <v>75</v>
      </c>
      <c r="G16" s="13" t="s">
        <v>35</v>
      </c>
      <c r="H16" s="13" t="e" vm="3">
        <v>#VALUE!</v>
      </c>
      <c r="I16" s="13">
        <v>40</v>
      </c>
      <c r="J16" s="1"/>
      <c r="K16" s="13"/>
      <c r="L16" s="13">
        <v>1</v>
      </c>
      <c r="M16" s="13"/>
      <c r="R16" s="2" t="s">
        <v>50</v>
      </c>
      <c r="S16" s="9">
        <f>SUM(S13+S15)</f>
        <v>184.5</v>
      </c>
    </row>
    <row r="17" spans="1:19" ht="30" customHeight="1" x14ac:dyDescent="0.25">
      <c r="A17" s="13">
        <v>1</v>
      </c>
      <c r="B17" s="13" t="s">
        <v>14</v>
      </c>
      <c r="C17" s="14" t="s">
        <v>28</v>
      </c>
      <c r="D17" s="13" t="str">
        <f t="shared" si="0"/>
        <v>1B008</v>
      </c>
      <c r="E17" s="13" t="s">
        <v>32</v>
      </c>
      <c r="F17" s="13" t="s">
        <v>75</v>
      </c>
      <c r="G17" s="13" t="s">
        <v>35</v>
      </c>
      <c r="H17" s="13" t="e" vm="3">
        <v>#VALUE!</v>
      </c>
      <c r="I17" s="13">
        <v>40</v>
      </c>
      <c r="J17" s="1"/>
      <c r="K17" s="13"/>
      <c r="L17" s="13">
        <v>1</v>
      </c>
      <c r="M17" s="13"/>
      <c r="R17" s="2" t="s">
        <v>51</v>
      </c>
      <c r="S17" s="12">
        <f>(S16*S12)</f>
        <v>5535</v>
      </c>
    </row>
    <row r="18" spans="1:19" ht="30" customHeight="1" x14ac:dyDescent="0.25">
      <c r="A18" s="13">
        <v>1</v>
      </c>
      <c r="B18" s="13" t="s">
        <v>14</v>
      </c>
      <c r="C18" s="14" t="s">
        <v>29</v>
      </c>
      <c r="D18" s="13" t="str">
        <f t="shared" si="0"/>
        <v>1B009</v>
      </c>
      <c r="E18" s="13" t="s">
        <v>32</v>
      </c>
      <c r="F18" s="13" t="s">
        <v>42</v>
      </c>
      <c r="G18" s="13" t="s">
        <v>35</v>
      </c>
      <c r="H18" s="13" t="e" vm="3">
        <v>#VALUE!</v>
      </c>
      <c r="I18" s="13">
        <v>70</v>
      </c>
      <c r="J18" s="1"/>
      <c r="K18" s="13"/>
      <c r="L18" s="13">
        <v>1</v>
      </c>
      <c r="M18" s="13"/>
    </row>
    <row r="19" spans="1:19" ht="30" customHeight="1" x14ac:dyDescent="0.25">
      <c r="A19" s="13">
        <v>1</v>
      </c>
      <c r="B19" s="13" t="s">
        <v>14</v>
      </c>
      <c r="C19" s="14" t="s">
        <v>30</v>
      </c>
      <c r="D19" s="13" t="str">
        <f t="shared" si="0"/>
        <v>1B010</v>
      </c>
      <c r="E19" s="13" t="s">
        <v>32</v>
      </c>
      <c r="F19" s="13" t="s">
        <v>42</v>
      </c>
      <c r="G19" s="13" t="s">
        <v>35</v>
      </c>
      <c r="H19" s="13" t="e" vm="3">
        <v>#VALUE!</v>
      </c>
      <c r="I19" s="13">
        <v>70</v>
      </c>
      <c r="J19" s="1"/>
      <c r="K19" s="13"/>
      <c r="L19" s="13">
        <v>1</v>
      </c>
      <c r="M19" s="13"/>
      <c r="R19" s="2" t="s">
        <v>55</v>
      </c>
      <c r="S19" s="1">
        <f>switch_10mbs</f>
        <v>2</v>
      </c>
    </row>
    <row r="20" spans="1:19" ht="30" customHeight="1" x14ac:dyDescent="0.25">
      <c r="A20" s="13">
        <v>1</v>
      </c>
      <c r="B20" s="13" t="s">
        <v>14</v>
      </c>
      <c r="C20" s="14" t="s">
        <v>31</v>
      </c>
      <c r="D20" s="13" t="str">
        <f t="shared" si="0"/>
        <v>1B011</v>
      </c>
      <c r="E20" s="13" t="s">
        <v>32</v>
      </c>
      <c r="F20" s="13" t="s">
        <v>74</v>
      </c>
      <c r="G20" s="13" t="s">
        <v>35</v>
      </c>
      <c r="H20" s="13" t="e" vm="3">
        <v>#VALUE!</v>
      </c>
      <c r="I20" s="13">
        <v>70</v>
      </c>
      <c r="J20" s="1"/>
      <c r="K20" s="13"/>
      <c r="L20" s="13">
        <v>1</v>
      </c>
      <c r="M20" s="13"/>
      <c r="R20" s="2" t="s">
        <v>56</v>
      </c>
      <c r="S20" s="1">
        <f>total100Mbs</f>
        <v>15</v>
      </c>
    </row>
    <row r="21" spans="1:19" ht="30" customHeight="1" x14ac:dyDescent="0.25">
      <c r="A21" s="13">
        <v>1</v>
      </c>
      <c r="B21" s="13" t="s">
        <v>14</v>
      </c>
      <c r="C21" s="14" t="s">
        <v>31</v>
      </c>
      <c r="D21" s="13" t="str">
        <f t="shared" ref="D21:D22" si="1">A21 &amp; B21 &amp; C21</f>
        <v>1B011</v>
      </c>
      <c r="E21" s="13" t="s">
        <v>32</v>
      </c>
      <c r="F21" s="13" t="s">
        <v>74</v>
      </c>
      <c r="G21" s="13" t="s">
        <v>35</v>
      </c>
      <c r="H21" s="13" t="e" vm="3">
        <v>#VALUE!</v>
      </c>
      <c r="I21" s="13">
        <v>70</v>
      </c>
      <c r="J21" s="1"/>
      <c r="K21" s="13"/>
      <c r="L21" s="13">
        <v>1</v>
      </c>
      <c r="M21" s="13"/>
      <c r="R21" s="2" t="s">
        <v>57</v>
      </c>
      <c r="S21" s="1">
        <f>gig</f>
        <v>0</v>
      </c>
    </row>
    <row r="22" spans="1:19" ht="30" customHeight="1" x14ac:dyDescent="0.25">
      <c r="A22" s="13">
        <v>1</v>
      </c>
      <c r="B22" s="13" t="s">
        <v>14</v>
      </c>
      <c r="C22" s="14" t="s">
        <v>31</v>
      </c>
      <c r="D22" s="13" t="str">
        <f t="shared" si="1"/>
        <v>1B011</v>
      </c>
      <c r="E22" s="13" t="s">
        <v>32</v>
      </c>
      <c r="F22" s="13" t="s">
        <v>76</v>
      </c>
      <c r="G22" s="13" t="s">
        <v>35</v>
      </c>
      <c r="H22" s="13" t="e" vm="3">
        <v>#VALUE!</v>
      </c>
      <c r="I22" s="13">
        <v>70</v>
      </c>
      <c r="J22" s="1"/>
      <c r="K22" s="13"/>
      <c r="L22" s="13">
        <v>1</v>
      </c>
      <c r="M22" s="13"/>
      <c r="R22" s="2" t="s">
        <v>43</v>
      </c>
      <c r="S22" s="1">
        <f>SUM(S19:S21)</f>
        <v>17</v>
      </c>
    </row>
    <row r="23" spans="1:19" ht="30" customHeight="1" x14ac:dyDescent="0.25">
      <c r="A23" s="5"/>
      <c r="B23" s="5"/>
      <c r="C23" s="7"/>
      <c r="D23" s="5"/>
      <c r="E23" s="5"/>
      <c r="F23" s="5"/>
      <c r="G23" s="5"/>
      <c r="H23" s="5"/>
      <c r="I23" s="5"/>
      <c r="R23" s="2" t="s">
        <v>58</v>
      </c>
      <c r="S23" s="1">
        <v>24</v>
      </c>
    </row>
    <row r="24" spans="1:19" ht="30" customHeight="1" x14ac:dyDescent="0.25">
      <c r="A24" s="5"/>
      <c r="B24" s="5"/>
      <c r="C24" s="7"/>
      <c r="D24" s="5"/>
      <c r="E24" s="5"/>
      <c r="F24" s="5"/>
      <c r="G24" s="5"/>
      <c r="H24" s="5"/>
      <c r="I24" s="5"/>
      <c r="R24" s="2" t="s">
        <v>59</v>
      </c>
      <c r="S24" s="1">
        <f>ROUNDUP(S22/S23,0)</f>
        <v>1</v>
      </c>
    </row>
    <row r="25" spans="1:19" ht="30" customHeight="1" x14ac:dyDescent="0.25">
      <c r="A25" s="5"/>
      <c r="B25" s="5"/>
      <c r="C25" s="7"/>
      <c r="D25" s="5"/>
      <c r="E25" s="5"/>
      <c r="F25" s="5"/>
      <c r="G25" s="5"/>
      <c r="H25" s="5"/>
      <c r="I25" s="5"/>
      <c r="R25" s="2" t="s">
        <v>60</v>
      </c>
      <c r="S25" s="9">
        <v>1500</v>
      </c>
    </row>
    <row r="26" spans="1:19" ht="30" customHeight="1" x14ac:dyDescent="0.25">
      <c r="A26" s="5"/>
      <c r="B26" s="5"/>
      <c r="C26" s="7"/>
      <c r="D26" s="5"/>
      <c r="E26" s="5"/>
      <c r="F26" s="5"/>
      <c r="G26" s="5"/>
      <c r="H26" s="5"/>
      <c r="I26" s="5"/>
      <c r="R26" s="2" t="s">
        <v>48</v>
      </c>
      <c r="S26" s="10">
        <v>0.23</v>
      </c>
    </row>
    <row r="27" spans="1:19" ht="30" customHeight="1" x14ac:dyDescent="0.25">
      <c r="A27" s="5"/>
      <c r="B27" s="5"/>
      <c r="C27" s="7"/>
      <c r="D27" s="5"/>
      <c r="E27" s="5"/>
      <c r="F27" s="5"/>
      <c r="G27" s="5"/>
      <c r="H27" s="5"/>
      <c r="I27" s="5"/>
      <c r="R27" s="2" t="s">
        <v>49</v>
      </c>
      <c r="S27" s="9">
        <f>SUM(S25*S26)</f>
        <v>345</v>
      </c>
    </row>
    <row r="28" spans="1:19" ht="30" customHeight="1" x14ac:dyDescent="0.25">
      <c r="R28" s="2" t="s">
        <v>50</v>
      </c>
      <c r="S28" s="9">
        <f>SUM(S25+S27)</f>
        <v>1845</v>
      </c>
    </row>
    <row r="29" spans="1:19" ht="30" customHeight="1" x14ac:dyDescent="0.25">
      <c r="R29" s="2" t="s">
        <v>61</v>
      </c>
      <c r="S29" s="12">
        <f>(S28*S24)</f>
        <v>1845</v>
      </c>
    </row>
  </sheetData>
  <mergeCells count="1">
    <mergeCell ref="K2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64A0-F5E1-47D8-A6CE-DD401F758104}">
  <dimension ref="A1:J28"/>
  <sheetViews>
    <sheetView workbookViewId="0">
      <selection sqref="A1:XFD1048576"/>
    </sheetView>
  </sheetViews>
  <sheetFormatPr defaultRowHeight="15" x14ac:dyDescent="0.25"/>
  <cols>
    <col min="3" max="3" width="25.28515625" customWidth="1"/>
    <col min="6" max="6" width="11.5703125" customWidth="1"/>
    <col min="7" max="7" width="19.85546875" customWidth="1"/>
  </cols>
  <sheetData>
    <row r="1" spans="1:10" x14ac:dyDescent="0.25">
      <c r="H1">
        <f>SUM(H3:H4)</f>
        <v>20</v>
      </c>
    </row>
    <row r="2" spans="1:10" x14ac:dyDescent="0.25">
      <c r="A2" s="16" t="s">
        <v>62</v>
      </c>
      <c r="B2" s="16" t="s">
        <v>63</v>
      </c>
      <c r="C2" s="16" t="s">
        <v>69</v>
      </c>
      <c r="D2" s="16" t="s">
        <v>66</v>
      </c>
      <c r="E2" s="16" t="s">
        <v>67</v>
      </c>
      <c r="F2" s="16" t="s">
        <v>68</v>
      </c>
      <c r="G2" s="15" t="s">
        <v>70</v>
      </c>
      <c r="H2" s="16" t="s">
        <v>21</v>
      </c>
      <c r="I2" s="5"/>
      <c r="J2" s="5"/>
    </row>
    <row r="3" spans="1:10" x14ac:dyDescent="0.25">
      <c r="A3" s="13" t="s">
        <v>64</v>
      </c>
      <c r="B3" s="13" t="s">
        <v>65</v>
      </c>
      <c r="C3" s="13">
        <v>1</v>
      </c>
      <c r="D3" s="13" t="s">
        <v>71</v>
      </c>
      <c r="E3" s="13">
        <v>8</v>
      </c>
      <c r="F3" s="13">
        <v>4</v>
      </c>
      <c r="G3" s="17" t="str">
        <f>"BD:" &amp; A3 &amp; "-" &amp; B3  &amp; " " &amp; D3 &amp; C3</f>
        <v>BD:1A-1B MMF1</v>
      </c>
      <c r="H3" s="13">
        <v>10</v>
      </c>
      <c r="I3" s="5"/>
      <c r="J3" s="5"/>
    </row>
    <row r="4" spans="1:10" x14ac:dyDescent="0.25">
      <c r="A4" s="13" t="s">
        <v>64</v>
      </c>
      <c r="B4" s="13" t="s">
        <v>65</v>
      </c>
      <c r="C4" s="13">
        <v>2</v>
      </c>
      <c r="D4" s="13" t="s">
        <v>71</v>
      </c>
      <c r="E4" s="13">
        <v>8</v>
      </c>
      <c r="F4" s="13">
        <v>4</v>
      </c>
      <c r="G4" s="17" t="str">
        <f>"BD:" &amp; A4 &amp; "-" &amp; B4  &amp; " " &amp; D4 &amp; C4</f>
        <v>BD:1A-1B MMF2</v>
      </c>
      <c r="H4" s="13">
        <v>10</v>
      </c>
      <c r="I4" s="5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3F33-55C3-45CB-A86C-BF8D2D35EE5D}">
  <dimension ref="A1:J28"/>
  <sheetViews>
    <sheetView workbookViewId="0">
      <selection activeCell="D27" sqref="D27"/>
    </sheetView>
  </sheetViews>
  <sheetFormatPr defaultRowHeight="15" x14ac:dyDescent="0.25"/>
  <cols>
    <col min="3" max="3" width="25.28515625" customWidth="1"/>
    <col min="6" max="6" width="11.5703125" customWidth="1"/>
    <col min="7" max="7" width="19.85546875" customWidth="1"/>
    <col min="8" max="8" width="19.42578125" customWidth="1"/>
    <col min="9" max="9" width="25.28515625" customWidth="1"/>
  </cols>
  <sheetData>
    <row r="1" spans="1:10" x14ac:dyDescent="0.25">
      <c r="H1">
        <f>SUM(H3:H4)</f>
        <v>100</v>
      </c>
    </row>
    <row r="2" spans="1:10" x14ac:dyDescent="0.25">
      <c r="A2" s="16" t="s">
        <v>62</v>
      </c>
      <c r="B2" s="16" t="s">
        <v>63</v>
      </c>
      <c r="C2" s="16" t="s">
        <v>69</v>
      </c>
      <c r="D2" s="16" t="s">
        <v>66</v>
      </c>
      <c r="E2" s="16" t="s">
        <v>67</v>
      </c>
      <c r="F2" s="16" t="s">
        <v>68</v>
      </c>
      <c r="G2" s="15" t="s">
        <v>70</v>
      </c>
      <c r="H2" s="16" t="s">
        <v>72</v>
      </c>
      <c r="I2" s="16" t="s">
        <v>73</v>
      </c>
      <c r="J2" s="5"/>
    </row>
    <row r="3" spans="1:10" x14ac:dyDescent="0.25">
      <c r="A3" s="13">
        <v>1</v>
      </c>
      <c r="B3" s="13">
        <v>2</v>
      </c>
      <c r="C3" s="13">
        <v>1</v>
      </c>
      <c r="D3" s="13" t="s">
        <v>71</v>
      </c>
      <c r="E3" s="13">
        <v>8</v>
      </c>
      <c r="F3" s="13">
        <v>4</v>
      </c>
      <c r="G3" s="17" t="str">
        <f>"CD:" &amp; A3 &amp; "-" &amp; B3  &amp; " " &amp; D3 &amp; C3</f>
        <v>CD:1-2 MMF1</v>
      </c>
      <c r="H3" s="13">
        <v>50</v>
      </c>
      <c r="I3" s="13"/>
      <c r="J3" s="5"/>
    </row>
    <row r="4" spans="1:10" x14ac:dyDescent="0.25">
      <c r="A4" s="13">
        <v>2</v>
      </c>
      <c r="B4" s="13">
        <v>3</v>
      </c>
      <c r="C4" s="13">
        <v>2</v>
      </c>
      <c r="D4" s="13" t="s">
        <v>71</v>
      </c>
      <c r="E4" s="13">
        <v>8</v>
      </c>
      <c r="F4" s="13">
        <v>4</v>
      </c>
      <c r="G4" s="17" t="str">
        <f>"CD:" &amp; A4 &amp; "-" &amp; B4  &amp; " " &amp; D4 &amp; C4</f>
        <v>CD:2-3 MMF2</v>
      </c>
      <c r="H4" s="13">
        <v>50</v>
      </c>
      <c r="I4" s="13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13">
        <v>1</v>
      </c>
      <c r="B7" s="13">
        <v>2</v>
      </c>
      <c r="C7" s="13">
        <v>1</v>
      </c>
      <c r="D7" s="13" t="s">
        <v>71</v>
      </c>
      <c r="E7" s="13">
        <v>8</v>
      </c>
      <c r="F7" s="13">
        <v>4</v>
      </c>
      <c r="G7" s="17" t="str">
        <f>"CD:" &amp; A7 &amp; "-" &amp; B7  &amp; " " &amp; D7 &amp; C7</f>
        <v>CD:1-2 MMF1</v>
      </c>
      <c r="H7" s="13"/>
      <c r="I7" s="13">
        <v>50</v>
      </c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Summary</vt:lpstr>
      <vt:lpstr>FD1A</vt:lpstr>
      <vt:lpstr>FD1B</vt:lpstr>
      <vt:lpstr>BD1</vt:lpstr>
      <vt:lpstr>CD</vt:lpstr>
      <vt:lpstr>gig</vt:lpstr>
      <vt:lpstr>switch_1000mbs</vt:lpstr>
      <vt:lpstr>switch_100mbs</vt:lpstr>
      <vt:lpstr>switch_10mbs</vt:lpstr>
      <vt:lpstr>Total_CAT6_Cost</vt:lpstr>
      <vt:lpstr>Total_Outlet_Cost</vt:lpstr>
      <vt:lpstr>Total_Switch_CostFDA1</vt:lpstr>
      <vt:lpstr>total100Mbs</vt:lpstr>
      <vt:lpstr>TotalCAT6</vt:lpstr>
      <vt:lpstr>TotalCAT6cable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</dc:creator>
  <cp:lastModifiedBy>Liam Saunders - STUDENT</cp:lastModifiedBy>
  <dcterms:created xsi:type="dcterms:W3CDTF">2015-06-05T18:17:20Z</dcterms:created>
  <dcterms:modified xsi:type="dcterms:W3CDTF">2026-02-02T09:37:25Z</dcterms:modified>
</cp:coreProperties>
</file>