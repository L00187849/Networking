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49_atu_ie/Documents/L00187849/L00187849/Networking/Assignment 1/Layer 2/"/>
    </mc:Choice>
  </mc:AlternateContent>
  <xr:revisionPtr revIDLastSave="772" documentId="8_{E6CA7350-8991-41D4-81CC-D1EC43E98BD2}" xr6:coauthVersionLast="47" xr6:coauthVersionMax="47" xr10:uidLastSave="{F64FEF0D-6B44-47AB-A88B-3DC2EC794096}"/>
  <bookViews>
    <workbookView xWindow="38280" yWindow="-120" windowWidth="38640" windowHeight="21120" activeTab="4" xr2:uid="{DF70BB39-A091-4F25-8219-89A267489FE1}"/>
  </bookViews>
  <sheets>
    <sheet name="Devices " sheetId="1" r:id="rId1"/>
    <sheet name="61" sheetId="2" r:id="rId2"/>
    <sheet name="62" sheetId="6" r:id="rId3"/>
    <sheet name="63" sheetId="10" r:id="rId4"/>
    <sheet name="64" sheetId="11" r:id="rId5"/>
    <sheet name="Connectors" sheetId="3" r:id="rId6"/>
    <sheet name="Hosts" sheetId="4" r:id="rId7"/>
    <sheet name="PortType" sheetId="5" r:id="rId8"/>
    <sheet name="Untagged(VLAN)" sheetId="7" r:id="rId9"/>
    <sheet name="STP Type" sheetId="8" r:id="rId10"/>
    <sheet name="Enabled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3" i="1"/>
</calcChain>
</file>

<file path=xl/sharedStrings.xml><?xml version="1.0" encoding="utf-8"?>
<sst xmlns="http://schemas.openxmlformats.org/spreadsheetml/2006/main" count="829" uniqueCount="123">
  <si>
    <t>ID</t>
  </si>
  <si>
    <t xml:space="preserve">Manufacturer </t>
  </si>
  <si>
    <t>Make</t>
  </si>
  <si>
    <t>Model</t>
  </si>
  <si>
    <t>Routing</t>
  </si>
  <si>
    <t>VRRP</t>
  </si>
  <si>
    <t>Mode</t>
  </si>
  <si>
    <t xml:space="preserve">Priority </t>
  </si>
  <si>
    <t xml:space="preserve">STP </t>
  </si>
  <si>
    <t xml:space="preserve">Port </t>
  </si>
  <si>
    <t>Connector</t>
  </si>
  <si>
    <t>DAC-Q28-100G</t>
  </si>
  <si>
    <t>SFP28-25G-SR</t>
  </si>
  <si>
    <t>SFP-10G-SX</t>
  </si>
  <si>
    <t>SFP-1G-SX</t>
  </si>
  <si>
    <t>RJ45</t>
  </si>
  <si>
    <t>Hosts</t>
  </si>
  <si>
    <t>mgmt-1</t>
  </si>
  <si>
    <t xml:space="preserve">Cisco </t>
  </si>
  <si>
    <t>STP Type</t>
  </si>
  <si>
    <t>Enabled</t>
  </si>
  <si>
    <t>No</t>
  </si>
  <si>
    <t>2960X-2410G</t>
  </si>
  <si>
    <t>2960X-24PS-L</t>
  </si>
  <si>
    <t xml:space="preserve">Catalyst </t>
  </si>
  <si>
    <t>Management IP</t>
  </si>
  <si>
    <t>10.45.x.20</t>
  </si>
  <si>
    <t>Cisco</t>
  </si>
  <si>
    <t>Catalyst</t>
  </si>
  <si>
    <t>N/A (Layer 2)</t>
  </si>
  <si>
    <t>N/A</t>
  </si>
  <si>
    <t>R-PVST+</t>
  </si>
  <si>
    <t>4096 (Primary)</t>
  </si>
  <si>
    <t>CD-01-Mgmt</t>
  </si>
  <si>
    <t>CD-01-OOBM</t>
  </si>
  <si>
    <t>UPS-01</t>
  </si>
  <si>
    <t>PDU-01</t>
  </si>
  <si>
    <t>EV-Fast-01</t>
  </si>
  <si>
    <t>EV-Slow-01</t>
  </si>
  <si>
    <t>CCTV-NVR-01</t>
  </si>
  <si>
    <t>CCTV-NVR-02</t>
  </si>
  <si>
    <t>AP-01</t>
  </si>
  <si>
    <t>AP-02</t>
  </si>
  <si>
    <t>Spare</t>
  </si>
  <si>
    <t>FD-01-Uplink</t>
  </si>
  <si>
    <t>FD-02-Uplink</t>
  </si>
  <si>
    <t>SITE-CORE-A</t>
  </si>
  <si>
    <t>SITE-CORE-B</t>
  </si>
  <si>
    <t>BD-01-FIBER</t>
  </si>
  <si>
    <t>Power-Mgmt</t>
  </si>
  <si>
    <t>TRUNK-TO-FD01</t>
  </si>
  <si>
    <t>TRUNK-TO-FD02</t>
  </si>
  <si>
    <t>UPLINK-NORTH</t>
  </si>
  <si>
    <t>UPLINK-SOUTH</t>
  </si>
  <si>
    <t>TRUNK-TO-BD01</t>
  </si>
  <si>
    <t>SPARE-PORT</t>
  </si>
  <si>
    <t>EV_Charger_Fast_1</t>
  </si>
  <si>
    <t>EV_Charger_Slow_1</t>
  </si>
  <si>
    <t>POS_Cluster_Master</t>
  </si>
  <si>
    <t>Building_Climate</t>
  </si>
  <si>
    <t>Security_Recorder_1</t>
  </si>
  <si>
    <t>Security_Recorder_2</t>
  </si>
  <si>
    <t>Office_Host_Admin</t>
  </si>
  <si>
    <t>Office_Host_Sales</t>
  </si>
  <si>
    <t>Wireless_AP_Shop</t>
  </si>
  <si>
    <t>Wireless_AP_Seating</t>
  </si>
  <si>
    <t>Telephone_System</t>
  </si>
  <si>
    <t>Staff_Comms_Radio</t>
  </si>
  <si>
    <t>SPARE_PORT</t>
  </si>
  <si>
    <t>Port name/Desc</t>
  </si>
  <si>
    <t>Untagged (VLAN)</t>
  </si>
  <si>
    <t>VLAN 1</t>
  </si>
  <si>
    <t>VLAN 2</t>
  </si>
  <si>
    <t>VLAN 3</t>
  </si>
  <si>
    <t>VLAN 4</t>
  </si>
  <si>
    <t>VLAN 5</t>
  </si>
  <si>
    <t>VLAN 6</t>
  </si>
  <si>
    <t>VLAN 7</t>
  </si>
  <si>
    <t>VLAN 8</t>
  </si>
  <si>
    <t>VLAN 9</t>
  </si>
  <si>
    <t>VLAN 10</t>
  </si>
  <si>
    <t>VLAN 11</t>
  </si>
  <si>
    <t>VLAN 12</t>
  </si>
  <si>
    <t>VLAN 13</t>
  </si>
  <si>
    <t>VLAN 14</t>
  </si>
  <si>
    <t>VLAN 15</t>
  </si>
  <si>
    <t>VLAN 16</t>
  </si>
  <si>
    <t>VLAN 998</t>
  </si>
  <si>
    <t>VLAN 999/1000</t>
  </si>
  <si>
    <t>Trunk</t>
  </si>
  <si>
    <t>Edge</t>
  </si>
  <si>
    <t>Edge BPDU</t>
  </si>
  <si>
    <t>Network</t>
  </si>
  <si>
    <t>Yes</t>
  </si>
  <si>
    <t>Location</t>
  </si>
  <si>
    <t xml:space="preserve">Ground Floor </t>
  </si>
  <si>
    <t>Ground Floor</t>
  </si>
  <si>
    <t>First Floor</t>
  </si>
  <si>
    <t>Between the Ground and First floor</t>
  </si>
  <si>
    <t>Till Terminal 1</t>
  </si>
  <si>
    <t>Till Terminal 2</t>
  </si>
  <si>
    <t>Till Terminal 3</t>
  </si>
  <si>
    <t>CCTV-NVR-03</t>
  </si>
  <si>
    <t>CCTV-NVR-04</t>
  </si>
  <si>
    <t>Security_Recorder_3</t>
  </si>
  <si>
    <t>Security_Recorder_4</t>
  </si>
  <si>
    <t>Device</t>
  </si>
  <si>
    <t>CD-01</t>
  </si>
  <si>
    <t>BD-01</t>
  </si>
  <si>
    <t>FD-01</t>
  </si>
  <si>
    <t>FD-02</t>
  </si>
  <si>
    <t>FD-02-Downlink</t>
  </si>
  <si>
    <t>FD-01-Downlink</t>
  </si>
  <si>
    <t>CD-01-Uplink</t>
  </si>
  <si>
    <t>CD-02-Uplink</t>
  </si>
  <si>
    <t>Trunk-To-CD01</t>
  </si>
  <si>
    <t>Trunk-To-CD02</t>
  </si>
  <si>
    <t>VoIP</t>
  </si>
  <si>
    <t>VoIP-Phone</t>
  </si>
  <si>
    <t>BD-01- Uplink</t>
  </si>
  <si>
    <t>BD-02- Uplink</t>
  </si>
  <si>
    <t>Trunk-To-BD01</t>
  </si>
  <si>
    <t>Trunk-To-BD02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</si>
</sst>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0" fontId="1" fillId="0" borderId="0" xfId="0" applyFont="1" applyAlignment="1">
      <alignment horizontal="center" textRotation="90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36C4-5125-4810-B2DA-9A0CD99DE4D3}">
  <dimension ref="A1:K6"/>
  <sheetViews>
    <sheetView workbookViewId="0">
      <selection activeCell="D11" sqref="D11"/>
    </sheetView>
  </sheetViews>
  <sheetFormatPr defaultRowHeight="15" x14ac:dyDescent="0.25"/>
  <cols>
    <col min="1" max="1" width="11.85546875" customWidth="1"/>
    <col min="2" max="2" width="16.140625" customWidth="1"/>
    <col min="3" max="3" width="13.28515625" customWidth="1"/>
    <col min="4" max="4" width="22.140625" customWidth="1"/>
    <col min="5" max="5" width="17.140625" customWidth="1"/>
    <col min="6" max="6" width="13.28515625" customWidth="1"/>
    <col min="7" max="7" width="12.7109375" customWidth="1"/>
    <col min="8" max="8" width="13.85546875" customWidth="1"/>
    <col min="9" max="9" width="13.28515625" bestFit="1" customWidth="1"/>
    <col min="10" max="10" width="39.7109375" bestFit="1" customWidth="1"/>
    <col min="11" max="11" width="14.140625" customWidth="1"/>
  </cols>
  <sheetData>
    <row r="1" spans="1:11" x14ac:dyDescent="0.25">
      <c r="H1" s="3" t="s">
        <v>8</v>
      </c>
      <c r="I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25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94</v>
      </c>
      <c r="K2" s="1" t="s">
        <v>106</v>
      </c>
    </row>
    <row r="3" spans="1:11" x14ac:dyDescent="0.25">
      <c r="A3" s="2">
        <v>61</v>
      </c>
      <c r="B3" s="2" t="s">
        <v>18</v>
      </c>
      <c r="C3" s="2" t="s">
        <v>24</v>
      </c>
      <c r="D3" s="6" t="s">
        <v>22</v>
      </c>
      <c r="E3" s="2" t="str">
        <f>"10.45.10." &amp; A3</f>
        <v>10.45.10.61</v>
      </c>
      <c r="F3" s="2" t="s">
        <v>26</v>
      </c>
      <c r="G3" s="2">
        <v>45</v>
      </c>
      <c r="H3" s="2" t="s">
        <v>31</v>
      </c>
      <c r="I3" s="2" t="s">
        <v>32</v>
      </c>
      <c r="J3" s="2" t="s">
        <v>95</v>
      </c>
      <c r="K3" s="2" t="s">
        <v>107</v>
      </c>
    </row>
    <row r="4" spans="1:11" x14ac:dyDescent="0.25">
      <c r="A4" s="2">
        <v>62</v>
      </c>
      <c r="B4" s="2" t="s">
        <v>27</v>
      </c>
      <c r="C4" s="2" t="s">
        <v>28</v>
      </c>
      <c r="D4" s="6" t="s">
        <v>23</v>
      </c>
      <c r="E4" s="2" t="str">
        <f t="shared" ref="E4:E6" si="0">"10.45.10." &amp; A4</f>
        <v>10.45.10.62</v>
      </c>
      <c r="F4" s="2" t="s">
        <v>29</v>
      </c>
      <c r="G4" s="2" t="s">
        <v>30</v>
      </c>
      <c r="H4" s="2" t="s">
        <v>31</v>
      </c>
      <c r="I4" s="2">
        <v>32768</v>
      </c>
      <c r="J4" s="2" t="s">
        <v>98</v>
      </c>
      <c r="K4" s="2" t="s">
        <v>108</v>
      </c>
    </row>
    <row r="5" spans="1:11" x14ac:dyDescent="0.25">
      <c r="A5" s="2">
        <v>63</v>
      </c>
      <c r="B5" s="2" t="s">
        <v>27</v>
      </c>
      <c r="C5" s="2" t="s">
        <v>28</v>
      </c>
      <c r="D5" s="6" t="s">
        <v>23</v>
      </c>
      <c r="E5" s="2" t="str">
        <f t="shared" si="0"/>
        <v>10.45.10.63</v>
      </c>
      <c r="F5" s="2" t="s">
        <v>29</v>
      </c>
      <c r="G5" s="2" t="s">
        <v>30</v>
      </c>
      <c r="H5" s="2" t="s">
        <v>31</v>
      </c>
      <c r="I5" s="2">
        <v>32768</v>
      </c>
      <c r="J5" s="2" t="s">
        <v>96</v>
      </c>
      <c r="K5" s="2" t="s">
        <v>109</v>
      </c>
    </row>
    <row r="6" spans="1:11" x14ac:dyDescent="0.25">
      <c r="A6" s="2">
        <v>64</v>
      </c>
      <c r="B6" s="2" t="s">
        <v>27</v>
      </c>
      <c r="C6" s="2" t="s">
        <v>28</v>
      </c>
      <c r="D6" s="6" t="s">
        <v>23</v>
      </c>
      <c r="E6" s="2" t="str">
        <f t="shared" si="0"/>
        <v>10.45.10.64</v>
      </c>
      <c r="F6" s="2" t="s">
        <v>29</v>
      </c>
      <c r="G6" s="2" t="s">
        <v>30</v>
      </c>
      <c r="H6" s="2" t="s">
        <v>31</v>
      </c>
      <c r="I6" s="2">
        <v>32768</v>
      </c>
      <c r="J6" s="2" t="s">
        <v>97</v>
      </c>
      <c r="K6" s="2" t="s">
        <v>110</v>
      </c>
    </row>
  </sheetData>
  <mergeCells count="1"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E3A6-6A12-4981-8756-4C438D18BCB7}">
  <dimension ref="A1:J30"/>
  <sheetViews>
    <sheetView workbookViewId="0">
      <selection activeCell="G1" sqref="G1:G1048576"/>
    </sheetView>
  </sheetViews>
  <sheetFormatPr defaultRowHeight="15" x14ac:dyDescent="0.25"/>
  <cols>
    <col min="2" max="2" width="25.5703125" customWidth="1"/>
    <col min="3" max="3" width="15.5703125" customWidth="1"/>
    <col min="4" max="4" width="19.28515625" bestFit="1" customWidth="1"/>
    <col min="5" max="5" width="17.42578125" customWidth="1"/>
    <col min="6" max="6" width="10.42578125" bestFit="1" customWidth="1"/>
  </cols>
  <sheetData>
    <row r="1" spans="1:10" ht="118.5" customHeight="1" x14ac:dyDescent="0.25">
      <c r="A1" s="5" t="s">
        <v>9</v>
      </c>
      <c r="B1" s="5" t="s">
        <v>10</v>
      </c>
      <c r="C1" s="5" t="s">
        <v>16</v>
      </c>
      <c r="D1" s="5" t="s">
        <v>69</v>
      </c>
      <c r="E1" s="5" t="s">
        <v>70</v>
      </c>
      <c r="F1" s="5" t="s">
        <v>19</v>
      </c>
      <c r="G1" s="5" t="s">
        <v>20</v>
      </c>
      <c r="H1" s="4"/>
      <c r="I1" s="4"/>
      <c r="J1" s="2"/>
    </row>
    <row r="2" spans="1:10" x14ac:dyDescent="0.25">
      <c r="A2" s="2">
        <v>1</v>
      </c>
      <c r="B2" s="2" t="s">
        <v>15</v>
      </c>
      <c r="C2" s="2" t="s">
        <v>33</v>
      </c>
      <c r="D2" s="2" t="s">
        <v>17</v>
      </c>
      <c r="E2" s="2" t="s">
        <v>80</v>
      </c>
      <c r="F2" s="2" t="s">
        <v>90</v>
      </c>
      <c r="G2" s="2" t="s">
        <v>93</v>
      </c>
      <c r="H2" s="2"/>
      <c r="I2" s="2"/>
      <c r="J2" s="2"/>
    </row>
    <row r="3" spans="1:10" x14ac:dyDescent="0.25">
      <c r="A3" s="2">
        <v>2</v>
      </c>
      <c r="B3" s="2" t="s">
        <v>15</v>
      </c>
      <c r="C3" s="2" t="s">
        <v>34</v>
      </c>
      <c r="D3" s="2" t="s">
        <v>17</v>
      </c>
      <c r="E3" s="2" t="s">
        <v>82</v>
      </c>
      <c r="F3" s="2" t="s">
        <v>90</v>
      </c>
      <c r="G3" s="2" t="s">
        <v>93</v>
      </c>
      <c r="H3" s="2"/>
      <c r="I3" s="2"/>
      <c r="J3" s="2"/>
    </row>
    <row r="4" spans="1:10" x14ac:dyDescent="0.25">
      <c r="A4" s="2">
        <v>3</v>
      </c>
      <c r="B4" s="2" t="s">
        <v>15</v>
      </c>
      <c r="C4" s="2" t="s">
        <v>35</v>
      </c>
      <c r="D4" s="2" t="s">
        <v>49</v>
      </c>
      <c r="E4" s="2" t="s">
        <v>74</v>
      </c>
      <c r="F4" s="2" t="s">
        <v>91</v>
      </c>
      <c r="G4" s="2" t="s">
        <v>93</v>
      </c>
      <c r="H4" s="2"/>
      <c r="I4" s="2"/>
      <c r="J4" s="2"/>
    </row>
    <row r="5" spans="1:10" x14ac:dyDescent="0.25">
      <c r="A5" s="2">
        <v>4</v>
      </c>
      <c r="B5" s="2" t="s">
        <v>15</v>
      </c>
      <c r="C5" s="2" t="s">
        <v>36</v>
      </c>
      <c r="D5" s="2" t="s">
        <v>49</v>
      </c>
      <c r="E5" s="2" t="s">
        <v>74</v>
      </c>
      <c r="F5" s="2" t="s">
        <v>91</v>
      </c>
      <c r="G5" s="2" t="s">
        <v>93</v>
      </c>
      <c r="H5" s="2"/>
      <c r="I5" s="2"/>
      <c r="J5" s="2"/>
    </row>
    <row r="6" spans="1:10" x14ac:dyDescent="0.25">
      <c r="A6" s="2">
        <v>5</v>
      </c>
      <c r="B6" s="2" t="s">
        <v>15</v>
      </c>
      <c r="C6" s="2" t="s">
        <v>43</v>
      </c>
      <c r="D6" s="2" t="s">
        <v>55</v>
      </c>
      <c r="E6" s="2" t="s">
        <v>88</v>
      </c>
      <c r="F6" s="2" t="s">
        <v>90</v>
      </c>
      <c r="G6" s="2" t="s">
        <v>21</v>
      </c>
      <c r="H6" s="2"/>
      <c r="I6" s="2"/>
      <c r="J6" s="2"/>
    </row>
    <row r="7" spans="1:10" x14ac:dyDescent="0.25">
      <c r="A7" s="2">
        <v>6</v>
      </c>
      <c r="B7" s="2" t="s">
        <v>15</v>
      </c>
      <c r="C7" s="2" t="s">
        <v>43</v>
      </c>
      <c r="D7" s="2" t="s">
        <v>55</v>
      </c>
      <c r="E7" s="2" t="s">
        <v>88</v>
      </c>
      <c r="F7" s="2" t="s">
        <v>90</v>
      </c>
      <c r="G7" s="2" t="s">
        <v>21</v>
      </c>
      <c r="H7" s="2"/>
      <c r="I7" s="2"/>
      <c r="J7" s="2"/>
    </row>
    <row r="8" spans="1:10" x14ac:dyDescent="0.25">
      <c r="A8" s="2">
        <v>7</v>
      </c>
      <c r="B8" s="2" t="s">
        <v>15</v>
      </c>
      <c r="C8" s="2" t="s">
        <v>43</v>
      </c>
      <c r="D8" s="2" t="s">
        <v>68</v>
      </c>
      <c r="E8" s="2" t="s">
        <v>88</v>
      </c>
      <c r="F8" s="2" t="s">
        <v>90</v>
      </c>
      <c r="G8" s="2" t="s">
        <v>21</v>
      </c>
      <c r="H8" s="2"/>
      <c r="I8" s="2"/>
      <c r="J8" s="2"/>
    </row>
    <row r="9" spans="1:10" x14ac:dyDescent="0.25">
      <c r="A9" s="2">
        <v>8</v>
      </c>
      <c r="B9" s="2" t="s">
        <v>15</v>
      </c>
      <c r="C9" s="2" t="s">
        <v>43</v>
      </c>
      <c r="D9" s="2" t="s">
        <v>68</v>
      </c>
      <c r="E9" s="2" t="s">
        <v>88</v>
      </c>
      <c r="F9" s="2" t="s">
        <v>90</v>
      </c>
      <c r="G9" s="2" t="s">
        <v>21</v>
      </c>
      <c r="H9" s="2"/>
      <c r="I9" s="2"/>
      <c r="J9" s="2"/>
    </row>
    <row r="10" spans="1:10" x14ac:dyDescent="0.25">
      <c r="A10" s="2">
        <v>9</v>
      </c>
      <c r="B10" s="2" t="s">
        <v>15</v>
      </c>
      <c r="C10" s="2" t="s">
        <v>43</v>
      </c>
      <c r="D10" s="2" t="s">
        <v>68</v>
      </c>
      <c r="E10" s="2" t="s">
        <v>88</v>
      </c>
      <c r="F10" s="2" t="s">
        <v>90</v>
      </c>
      <c r="G10" s="2" t="s">
        <v>21</v>
      </c>
      <c r="H10" s="2"/>
      <c r="I10" s="2"/>
      <c r="J10" s="2"/>
    </row>
    <row r="11" spans="1:10" x14ac:dyDescent="0.25">
      <c r="A11" s="2">
        <v>10</v>
      </c>
      <c r="B11" s="2" t="s">
        <v>15</v>
      </c>
      <c r="C11" s="2" t="s">
        <v>43</v>
      </c>
      <c r="D11" s="2" t="s">
        <v>68</v>
      </c>
      <c r="E11" s="2" t="s">
        <v>88</v>
      </c>
      <c r="F11" s="2" t="s">
        <v>90</v>
      </c>
      <c r="G11" s="2" t="s">
        <v>21</v>
      </c>
      <c r="H11" s="2"/>
      <c r="I11" s="2"/>
      <c r="J11" s="2"/>
    </row>
    <row r="12" spans="1:10" x14ac:dyDescent="0.25">
      <c r="A12" s="2">
        <v>11</v>
      </c>
      <c r="B12" s="2" t="s">
        <v>15</v>
      </c>
      <c r="C12" s="2" t="s">
        <v>43</v>
      </c>
      <c r="D12" s="2" t="s">
        <v>68</v>
      </c>
      <c r="E12" s="2" t="s">
        <v>88</v>
      </c>
      <c r="F12" s="2" t="s">
        <v>90</v>
      </c>
      <c r="G12" s="2" t="s">
        <v>21</v>
      </c>
      <c r="H12" s="2"/>
      <c r="I12" s="2"/>
      <c r="J12" s="2"/>
    </row>
    <row r="13" spans="1:10" x14ac:dyDescent="0.25">
      <c r="A13" s="2">
        <v>12</v>
      </c>
      <c r="B13" s="2" t="s">
        <v>15</v>
      </c>
      <c r="C13" s="2" t="s">
        <v>43</v>
      </c>
      <c r="D13" s="2" t="s">
        <v>68</v>
      </c>
      <c r="E13" s="2" t="s">
        <v>88</v>
      </c>
      <c r="F13" s="2" t="s">
        <v>90</v>
      </c>
      <c r="G13" s="2" t="s">
        <v>21</v>
      </c>
      <c r="H13" s="2"/>
      <c r="I13" s="2"/>
      <c r="J13" s="2"/>
    </row>
    <row r="14" spans="1:10" x14ac:dyDescent="0.25">
      <c r="A14" s="2">
        <v>13</v>
      </c>
      <c r="B14" s="2" t="s">
        <v>15</v>
      </c>
      <c r="C14" s="2" t="s">
        <v>43</v>
      </c>
      <c r="D14" s="2" t="s">
        <v>68</v>
      </c>
      <c r="E14" s="2" t="s">
        <v>88</v>
      </c>
      <c r="F14" s="2" t="s">
        <v>90</v>
      </c>
      <c r="G14" s="2" t="s">
        <v>21</v>
      </c>
      <c r="H14" s="2"/>
      <c r="I14" s="2"/>
      <c r="J14" s="2"/>
    </row>
    <row r="15" spans="1:10" x14ac:dyDescent="0.25">
      <c r="A15" s="2">
        <v>14</v>
      </c>
      <c r="B15" s="2" t="s">
        <v>15</v>
      </c>
      <c r="C15" s="2" t="s">
        <v>43</v>
      </c>
      <c r="D15" s="2" t="s">
        <v>68</v>
      </c>
      <c r="E15" s="2" t="s">
        <v>88</v>
      </c>
      <c r="F15" s="2" t="s">
        <v>90</v>
      </c>
      <c r="G15" s="2" t="s">
        <v>21</v>
      </c>
      <c r="H15" s="2"/>
      <c r="I15" s="2"/>
      <c r="J15" s="2"/>
    </row>
    <row r="16" spans="1:10" x14ac:dyDescent="0.25">
      <c r="A16" s="2">
        <v>15</v>
      </c>
      <c r="B16" s="2" t="s">
        <v>15</v>
      </c>
      <c r="C16" s="2" t="s">
        <v>43</v>
      </c>
      <c r="D16" s="2" t="s">
        <v>68</v>
      </c>
      <c r="E16" s="2" t="s">
        <v>88</v>
      </c>
      <c r="F16" s="2" t="s">
        <v>90</v>
      </c>
      <c r="G16" s="2" t="s">
        <v>21</v>
      </c>
      <c r="H16" s="2"/>
      <c r="I16" s="2"/>
      <c r="J16" s="2"/>
    </row>
    <row r="17" spans="1:10" x14ac:dyDescent="0.25">
      <c r="A17" s="2">
        <v>16</v>
      </c>
      <c r="B17" s="2" t="s">
        <v>15</v>
      </c>
      <c r="C17" s="2" t="s">
        <v>43</v>
      </c>
      <c r="D17" s="2" t="s">
        <v>68</v>
      </c>
      <c r="E17" s="2" t="s">
        <v>88</v>
      </c>
      <c r="F17" s="2" t="s">
        <v>90</v>
      </c>
      <c r="G17" s="2" t="s">
        <v>21</v>
      </c>
      <c r="H17" s="2"/>
      <c r="I17" s="2"/>
      <c r="J17" s="2"/>
    </row>
    <row r="18" spans="1:10" x14ac:dyDescent="0.25">
      <c r="A18" s="2">
        <v>17</v>
      </c>
      <c r="B18" s="2" t="s">
        <v>15</v>
      </c>
      <c r="C18" s="2" t="s">
        <v>43</v>
      </c>
      <c r="D18" s="2" t="s">
        <v>68</v>
      </c>
      <c r="E18" s="2" t="s">
        <v>88</v>
      </c>
      <c r="F18" s="2" t="s">
        <v>90</v>
      </c>
      <c r="G18" s="2" t="s">
        <v>21</v>
      </c>
      <c r="H18" s="2"/>
      <c r="I18" s="2"/>
      <c r="J18" s="2"/>
    </row>
    <row r="19" spans="1:10" x14ac:dyDescent="0.25">
      <c r="A19" s="2">
        <v>18</v>
      </c>
      <c r="B19" s="2" t="s">
        <v>15</v>
      </c>
      <c r="C19" s="2" t="s">
        <v>43</v>
      </c>
      <c r="D19" s="2" t="s">
        <v>68</v>
      </c>
      <c r="E19" s="2" t="s">
        <v>88</v>
      </c>
      <c r="F19" s="2" t="s">
        <v>90</v>
      </c>
      <c r="G19" s="2" t="s">
        <v>21</v>
      </c>
      <c r="H19" s="2"/>
      <c r="I19" s="2"/>
      <c r="J19" s="2"/>
    </row>
    <row r="20" spans="1:10" x14ac:dyDescent="0.25">
      <c r="A20" s="2">
        <v>19</v>
      </c>
      <c r="B20" s="2" t="s">
        <v>15</v>
      </c>
      <c r="C20" s="2" t="s">
        <v>43</v>
      </c>
      <c r="D20" s="2" t="s">
        <v>68</v>
      </c>
      <c r="E20" s="2" t="s">
        <v>88</v>
      </c>
      <c r="F20" s="2" t="s">
        <v>90</v>
      </c>
      <c r="G20" s="2" t="s">
        <v>21</v>
      </c>
      <c r="H20" s="2"/>
      <c r="I20" s="2"/>
      <c r="J20" s="2"/>
    </row>
    <row r="21" spans="1:10" x14ac:dyDescent="0.25">
      <c r="A21" s="2">
        <v>20</v>
      </c>
      <c r="B21" s="2" t="s">
        <v>15</v>
      </c>
      <c r="C21" s="2" t="s">
        <v>43</v>
      </c>
      <c r="D21" s="2" t="s">
        <v>68</v>
      </c>
      <c r="E21" s="2" t="s">
        <v>88</v>
      </c>
      <c r="F21" s="2" t="s">
        <v>90</v>
      </c>
      <c r="G21" s="2" t="s">
        <v>21</v>
      </c>
      <c r="H21" s="2"/>
      <c r="I21" s="2"/>
      <c r="J21" s="2"/>
    </row>
    <row r="22" spans="1:10" x14ac:dyDescent="0.25">
      <c r="A22" s="2">
        <v>21</v>
      </c>
      <c r="B22" s="2" t="s">
        <v>15</v>
      </c>
      <c r="C22" s="2" t="s">
        <v>43</v>
      </c>
      <c r="D22" s="2" t="s">
        <v>68</v>
      </c>
      <c r="E22" s="2" t="s">
        <v>88</v>
      </c>
      <c r="F22" s="2" t="s">
        <v>90</v>
      </c>
      <c r="G22" s="2" t="s">
        <v>21</v>
      </c>
      <c r="H22" s="2"/>
      <c r="I22" s="2"/>
      <c r="J22" s="2"/>
    </row>
    <row r="23" spans="1:10" x14ac:dyDescent="0.25">
      <c r="A23" s="2">
        <v>22</v>
      </c>
      <c r="B23" s="2" t="s">
        <v>15</v>
      </c>
      <c r="C23" s="2" t="s">
        <v>43</v>
      </c>
      <c r="D23" s="2" t="s">
        <v>68</v>
      </c>
      <c r="E23" s="2" t="s">
        <v>88</v>
      </c>
      <c r="F23" s="2" t="s">
        <v>90</v>
      </c>
      <c r="G23" s="2" t="s">
        <v>21</v>
      </c>
      <c r="H23" s="2"/>
      <c r="I23" s="2"/>
      <c r="J23" s="2"/>
    </row>
    <row r="24" spans="1:10" x14ac:dyDescent="0.25">
      <c r="A24" s="2">
        <v>23</v>
      </c>
      <c r="B24" s="2" t="s">
        <v>15</v>
      </c>
      <c r="C24" s="2" t="s">
        <v>44</v>
      </c>
      <c r="D24" s="2" t="s">
        <v>50</v>
      </c>
      <c r="E24" s="2" t="s">
        <v>89</v>
      </c>
      <c r="F24" s="2" t="s">
        <v>92</v>
      </c>
      <c r="G24" s="2" t="s">
        <v>93</v>
      </c>
      <c r="H24" s="2"/>
      <c r="I24" s="2"/>
      <c r="J24" s="2"/>
    </row>
    <row r="25" spans="1:10" x14ac:dyDescent="0.25">
      <c r="A25" s="2">
        <v>24</v>
      </c>
      <c r="B25" s="2" t="s">
        <v>15</v>
      </c>
      <c r="C25" s="2" t="s">
        <v>45</v>
      </c>
      <c r="D25" s="2" t="s">
        <v>51</v>
      </c>
      <c r="E25" s="2" t="s">
        <v>89</v>
      </c>
      <c r="F25" s="2" t="s">
        <v>92</v>
      </c>
      <c r="G25" s="2" t="s">
        <v>93</v>
      </c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>
        <v>25</v>
      </c>
      <c r="B27" s="2" t="s">
        <v>11</v>
      </c>
      <c r="C27" s="2" t="s">
        <v>46</v>
      </c>
      <c r="D27" s="2" t="s">
        <v>52</v>
      </c>
      <c r="E27" s="2" t="s">
        <v>89</v>
      </c>
      <c r="F27" s="2" t="s">
        <v>92</v>
      </c>
      <c r="G27" s="2" t="s">
        <v>93</v>
      </c>
      <c r="H27" s="2"/>
      <c r="I27" s="2"/>
      <c r="J27" s="2"/>
    </row>
    <row r="28" spans="1:10" x14ac:dyDescent="0.25">
      <c r="A28" s="2">
        <v>26</v>
      </c>
      <c r="B28" s="2" t="s">
        <v>11</v>
      </c>
      <c r="C28" s="2" t="s">
        <v>47</v>
      </c>
      <c r="D28" s="2" t="s">
        <v>53</v>
      </c>
      <c r="E28" s="2" t="s">
        <v>89</v>
      </c>
      <c r="F28" s="2" t="s">
        <v>92</v>
      </c>
      <c r="G28" s="2" t="s">
        <v>93</v>
      </c>
      <c r="H28" s="2"/>
      <c r="I28" s="2"/>
      <c r="J28" s="2"/>
    </row>
    <row r="29" spans="1:10" x14ac:dyDescent="0.25">
      <c r="A29" s="2">
        <v>27</v>
      </c>
      <c r="B29" s="2" t="s">
        <v>13</v>
      </c>
      <c r="C29" s="2" t="s">
        <v>48</v>
      </c>
      <c r="D29" s="2" t="s">
        <v>54</v>
      </c>
      <c r="E29" s="2" t="s">
        <v>89</v>
      </c>
      <c r="F29" s="2" t="s">
        <v>92</v>
      </c>
      <c r="G29" s="2" t="s">
        <v>93</v>
      </c>
    </row>
    <row r="30" spans="1:10" x14ac:dyDescent="0.25">
      <c r="A30" s="2">
        <v>28</v>
      </c>
      <c r="B30" s="2" t="s">
        <v>15</v>
      </c>
      <c r="C30" s="2" t="s">
        <v>43</v>
      </c>
      <c r="D30" s="2" t="s">
        <v>55</v>
      </c>
      <c r="E30" s="2" t="s">
        <v>88</v>
      </c>
      <c r="F30" s="2" t="s">
        <v>90</v>
      </c>
      <c r="G30" s="2" t="s">
        <v>21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A1BCB77-B55C-47F2-9808-0FDFBDA78091}">
          <x14:formula1>
            <xm:f>Connectors!$A$1:$A$5</xm:f>
          </x14:formula1>
          <xm:sqref>B2:B30</xm:sqref>
        </x14:dataValidation>
        <x14:dataValidation type="list" allowBlank="1" showInputMessage="1" showErrorMessage="1" xr:uid="{288ABC5F-161B-4346-8C4C-9FA613100481}">
          <x14:formula1>
            <xm:f>Hosts!$A$1:$A$22</xm:f>
          </x14:formula1>
          <xm:sqref>C2:C30</xm:sqref>
        </x14:dataValidation>
        <x14:dataValidation type="list" allowBlank="1" showInputMessage="1" showErrorMessage="1" xr:uid="{F0C26432-84E1-4224-8F73-B7E70AC10918}">
          <x14:formula1>
            <xm:f>PortType!$A$1:$A$21</xm:f>
          </x14:formula1>
          <xm:sqref>D2:D6 D15:D30 D8</xm:sqref>
        </x14:dataValidation>
        <x14:dataValidation type="list" allowBlank="1" showInputMessage="1" showErrorMessage="1" xr:uid="{CEEE73CF-D156-4BF8-8F89-7F7394BE000A}">
          <x14:formula1>
            <xm:f>'Untagged(VLAN)'!$A$1:$A$19</xm:f>
          </x14:formula1>
          <xm:sqref>E2:E30</xm:sqref>
        </x14:dataValidation>
        <x14:dataValidation type="list" allowBlank="1" showInputMessage="1" showErrorMessage="1" xr:uid="{9046D602-1585-4FAD-8198-504A75B3EFC9}">
          <x14:formula1>
            <xm:f>'STP Type'!$A$1:$A$3</xm:f>
          </x14:formula1>
          <xm:sqref>F2:F30</xm:sqref>
        </x14:dataValidation>
        <x14:dataValidation type="list" allowBlank="1" showInputMessage="1" showErrorMessage="1" xr:uid="{318C895F-4ADA-4EA0-BA96-C00495550E10}">
          <x14:formula1>
            <xm:f>Enabled!$A$1:$A$2</xm:f>
          </x14:formula1>
          <xm:sqref>G2:G30</xm:sqref>
        </x14:dataValidation>
        <x14:dataValidation type="list" allowBlank="1" showInputMessage="1" showErrorMessage="1" xr:uid="{782BB91E-3827-400D-A682-080D471289A7}">
          <x14:formula1>
            <xm:f>PortType!$A$1:$A$23</xm:f>
          </x14:formula1>
          <xm:sqref>D9:D14</xm:sqref>
        </x14:dataValidation>
        <x14:dataValidation type="list" allowBlank="1" showInputMessage="1" showErrorMessage="1" xr:uid="{E915ABE3-A9D3-486F-B85A-E5538BC6ECBC}">
          <x14:formula1>
            <xm:f>PortType!$A$1:$A$31</xm:f>
          </x14:formula1>
          <xm:sqref>D7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B493-AB09-4953-8986-28041EF7D219}">
  <dimension ref="A1:J30"/>
  <sheetViews>
    <sheetView workbookViewId="0">
      <selection activeCell="G1" sqref="G1:G1048576"/>
    </sheetView>
  </sheetViews>
  <sheetFormatPr defaultRowHeight="15" x14ac:dyDescent="0.25"/>
  <cols>
    <col min="2" max="2" width="16.42578125" customWidth="1"/>
    <col min="3" max="3" width="22.7109375" customWidth="1"/>
    <col min="4" max="4" width="20.5703125" customWidth="1"/>
    <col min="5" max="5" width="13.85546875" customWidth="1"/>
    <col min="6" max="6" width="16.140625" customWidth="1"/>
  </cols>
  <sheetData>
    <row r="1" spans="1:10" ht="101.25" customHeight="1" x14ac:dyDescent="0.25">
      <c r="A1" s="5" t="s">
        <v>9</v>
      </c>
      <c r="B1" s="5" t="s">
        <v>10</v>
      </c>
      <c r="C1" s="5" t="s">
        <v>16</v>
      </c>
      <c r="D1" s="5" t="s">
        <v>69</v>
      </c>
      <c r="E1" s="5" t="s">
        <v>70</v>
      </c>
      <c r="F1" s="5" t="s">
        <v>19</v>
      </c>
      <c r="G1" s="5" t="s">
        <v>20</v>
      </c>
      <c r="H1" s="4"/>
      <c r="I1" s="4"/>
      <c r="J1" s="2"/>
    </row>
    <row r="2" spans="1:10" x14ac:dyDescent="0.25">
      <c r="A2" s="2">
        <v>1</v>
      </c>
      <c r="B2" s="2" t="s">
        <v>15</v>
      </c>
      <c r="C2" s="2" t="s">
        <v>33</v>
      </c>
      <c r="D2" s="2" t="s">
        <v>17</v>
      </c>
      <c r="E2" s="2" t="s">
        <v>80</v>
      </c>
      <c r="F2" s="2" t="s">
        <v>90</v>
      </c>
      <c r="G2" s="2" t="s">
        <v>93</v>
      </c>
    </row>
    <row r="3" spans="1:10" x14ac:dyDescent="0.25">
      <c r="A3" s="2">
        <v>2</v>
      </c>
      <c r="B3" s="2" t="s">
        <v>15</v>
      </c>
      <c r="C3" s="2" t="s">
        <v>34</v>
      </c>
      <c r="D3" s="2" t="s">
        <v>17</v>
      </c>
      <c r="E3" s="2" t="s">
        <v>82</v>
      </c>
      <c r="F3" s="2" t="s">
        <v>90</v>
      </c>
      <c r="G3" s="2" t="s">
        <v>93</v>
      </c>
    </row>
    <row r="4" spans="1:10" x14ac:dyDescent="0.25">
      <c r="A4" s="2">
        <v>3</v>
      </c>
      <c r="B4" s="2" t="s">
        <v>15</v>
      </c>
      <c r="C4" s="2" t="s">
        <v>39</v>
      </c>
      <c r="D4" s="2" t="s">
        <v>60</v>
      </c>
      <c r="E4" s="2" t="s">
        <v>81</v>
      </c>
      <c r="F4" s="2" t="s">
        <v>90</v>
      </c>
      <c r="G4" s="2" t="s">
        <v>93</v>
      </c>
    </row>
    <row r="5" spans="1:10" x14ac:dyDescent="0.25">
      <c r="A5" s="2">
        <v>4</v>
      </c>
      <c r="B5" s="2" t="s">
        <v>15</v>
      </c>
      <c r="C5" s="2" t="s">
        <v>40</v>
      </c>
      <c r="D5" s="2" t="s">
        <v>61</v>
      </c>
      <c r="E5" s="2" t="s">
        <v>81</v>
      </c>
      <c r="F5" s="2" t="s">
        <v>90</v>
      </c>
      <c r="G5" s="2" t="s">
        <v>93</v>
      </c>
    </row>
    <row r="6" spans="1:10" x14ac:dyDescent="0.25">
      <c r="A6" s="2">
        <v>5</v>
      </c>
      <c r="B6" s="2" t="s">
        <v>15</v>
      </c>
      <c r="C6" s="2" t="s">
        <v>41</v>
      </c>
      <c r="D6" s="2" t="s">
        <v>64</v>
      </c>
      <c r="E6" s="2" t="s">
        <v>83</v>
      </c>
      <c r="F6" s="2" t="s">
        <v>90</v>
      </c>
      <c r="G6" s="2" t="s">
        <v>93</v>
      </c>
    </row>
    <row r="7" spans="1:10" x14ac:dyDescent="0.25">
      <c r="A7" s="2">
        <v>6</v>
      </c>
      <c r="B7" s="2" t="s">
        <v>15</v>
      </c>
      <c r="C7" s="2" t="s">
        <v>42</v>
      </c>
      <c r="D7" s="2" t="s">
        <v>65</v>
      </c>
      <c r="E7" s="2" t="s">
        <v>83</v>
      </c>
      <c r="F7" s="2" t="s">
        <v>90</v>
      </c>
      <c r="G7" s="2" t="s">
        <v>93</v>
      </c>
    </row>
    <row r="8" spans="1:10" x14ac:dyDescent="0.25">
      <c r="A8" s="2">
        <v>7</v>
      </c>
      <c r="B8" s="2" t="s">
        <v>15</v>
      </c>
      <c r="C8" s="2" t="s">
        <v>43</v>
      </c>
      <c r="D8" s="2" t="s">
        <v>68</v>
      </c>
      <c r="E8" s="2" t="s">
        <v>88</v>
      </c>
      <c r="F8" s="2" t="s">
        <v>90</v>
      </c>
      <c r="G8" s="2" t="s">
        <v>21</v>
      </c>
    </row>
    <row r="9" spans="1:10" x14ac:dyDescent="0.25">
      <c r="A9" s="2">
        <v>8</v>
      </c>
      <c r="B9" s="2" t="s">
        <v>15</v>
      </c>
      <c r="C9" s="2" t="s">
        <v>43</v>
      </c>
      <c r="D9" s="2" t="s">
        <v>68</v>
      </c>
      <c r="E9" s="2" t="s">
        <v>88</v>
      </c>
      <c r="F9" s="2" t="s">
        <v>90</v>
      </c>
      <c r="G9" s="2" t="s">
        <v>21</v>
      </c>
    </row>
    <row r="10" spans="1:10" x14ac:dyDescent="0.25">
      <c r="A10" s="2">
        <v>9</v>
      </c>
      <c r="B10" s="2" t="s">
        <v>15</v>
      </c>
      <c r="C10" s="2" t="s">
        <v>43</v>
      </c>
      <c r="D10" s="2" t="s">
        <v>68</v>
      </c>
      <c r="E10" s="2" t="s">
        <v>88</v>
      </c>
      <c r="F10" s="2" t="s">
        <v>90</v>
      </c>
      <c r="G10" s="2" t="s">
        <v>21</v>
      </c>
    </row>
    <row r="11" spans="1:10" x14ac:dyDescent="0.25">
      <c r="A11" s="2">
        <v>10</v>
      </c>
      <c r="B11" s="2" t="s">
        <v>15</v>
      </c>
      <c r="C11" s="2" t="s">
        <v>43</v>
      </c>
      <c r="D11" s="2" t="s">
        <v>68</v>
      </c>
      <c r="E11" s="2" t="s">
        <v>88</v>
      </c>
      <c r="F11" s="2" t="s">
        <v>90</v>
      </c>
      <c r="G11" s="2" t="s">
        <v>21</v>
      </c>
    </row>
    <row r="12" spans="1:10" x14ac:dyDescent="0.25">
      <c r="A12" s="2">
        <v>11</v>
      </c>
      <c r="B12" s="2" t="s">
        <v>15</v>
      </c>
      <c r="C12" s="2" t="s">
        <v>43</v>
      </c>
      <c r="D12" s="2" t="s">
        <v>68</v>
      </c>
      <c r="E12" s="2" t="s">
        <v>88</v>
      </c>
      <c r="F12" s="2" t="s">
        <v>90</v>
      </c>
      <c r="G12" s="2" t="s">
        <v>21</v>
      </c>
    </row>
    <row r="13" spans="1:10" x14ac:dyDescent="0.25">
      <c r="A13" s="2">
        <v>12</v>
      </c>
      <c r="B13" s="2" t="s">
        <v>15</v>
      </c>
      <c r="C13" s="2" t="s">
        <v>43</v>
      </c>
      <c r="D13" s="2" t="s">
        <v>68</v>
      </c>
      <c r="E13" s="2" t="s">
        <v>88</v>
      </c>
      <c r="F13" s="2" t="s">
        <v>90</v>
      </c>
      <c r="G13" s="2" t="s">
        <v>21</v>
      </c>
    </row>
    <row r="14" spans="1:10" x14ac:dyDescent="0.25">
      <c r="A14" s="2">
        <v>13</v>
      </c>
      <c r="B14" s="2" t="s">
        <v>15</v>
      </c>
      <c r="C14" s="2" t="s">
        <v>43</v>
      </c>
      <c r="D14" s="2" t="s">
        <v>68</v>
      </c>
      <c r="E14" s="2" t="s">
        <v>88</v>
      </c>
      <c r="F14" s="2" t="s">
        <v>90</v>
      </c>
      <c r="G14" s="2" t="s">
        <v>21</v>
      </c>
    </row>
    <row r="15" spans="1:10" x14ac:dyDescent="0.25">
      <c r="A15" s="2">
        <v>14</v>
      </c>
      <c r="B15" s="2" t="s">
        <v>15</v>
      </c>
      <c r="C15" s="2" t="s">
        <v>43</v>
      </c>
      <c r="D15" s="2" t="s">
        <v>68</v>
      </c>
      <c r="E15" s="2" t="s">
        <v>88</v>
      </c>
      <c r="F15" s="2" t="s">
        <v>90</v>
      </c>
      <c r="G15" s="2" t="s">
        <v>21</v>
      </c>
    </row>
    <row r="16" spans="1:10" x14ac:dyDescent="0.25">
      <c r="A16" s="2">
        <v>15</v>
      </c>
      <c r="B16" s="2" t="s">
        <v>15</v>
      </c>
      <c r="C16" s="2" t="s">
        <v>43</v>
      </c>
      <c r="D16" s="2" t="s">
        <v>68</v>
      </c>
      <c r="E16" s="2" t="s">
        <v>88</v>
      </c>
      <c r="F16" s="2" t="s">
        <v>90</v>
      </c>
      <c r="G16" s="2" t="s">
        <v>21</v>
      </c>
    </row>
    <row r="17" spans="1:7" x14ac:dyDescent="0.25">
      <c r="A17" s="2">
        <v>16</v>
      </c>
      <c r="B17" s="2" t="s">
        <v>15</v>
      </c>
      <c r="C17" s="2" t="s">
        <v>43</v>
      </c>
      <c r="D17" s="2" t="s">
        <v>68</v>
      </c>
      <c r="E17" s="2" t="s">
        <v>88</v>
      </c>
      <c r="F17" s="2" t="s">
        <v>90</v>
      </c>
      <c r="G17" s="2" t="s">
        <v>21</v>
      </c>
    </row>
    <row r="18" spans="1:7" x14ac:dyDescent="0.25">
      <c r="A18" s="2">
        <v>17</v>
      </c>
      <c r="B18" s="2" t="s">
        <v>15</v>
      </c>
      <c r="C18" s="2" t="s">
        <v>43</v>
      </c>
      <c r="D18" s="2" t="s">
        <v>68</v>
      </c>
      <c r="E18" s="2" t="s">
        <v>88</v>
      </c>
      <c r="F18" s="2" t="s">
        <v>90</v>
      </c>
      <c r="G18" s="2" t="s">
        <v>21</v>
      </c>
    </row>
    <row r="19" spans="1:7" x14ac:dyDescent="0.25">
      <c r="A19" s="2">
        <v>18</v>
      </c>
      <c r="B19" s="2" t="s">
        <v>15</v>
      </c>
      <c r="C19" s="2" t="s">
        <v>43</v>
      </c>
      <c r="D19" s="2" t="s">
        <v>68</v>
      </c>
      <c r="E19" s="2" t="s">
        <v>88</v>
      </c>
      <c r="F19" s="2" t="s">
        <v>90</v>
      </c>
      <c r="G19" s="2" t="s">
        <v>21</v>
      </c>
    </row>
    <row r="20" spans="1:7" x14ac:dyDescent="0.25">
      <c r="A20" s="2">
        <v>19</v>
      </c>
      <c r="B20" s="2" t="s">
        <v>15</v>
      </c>
      <c r="C20" s="2" t="s">
        <v>43</v>
      </c>
      <c r="D20" s="2" t="s">
        <v>68</v>
      </c>
      <c r="E20" s="2" t="s">
        <v>88</v>
      </c>
      <c r="F20" s="2" t="s">
        <v>90</v>
      </c>
      <c r="G20" s="2" t="s">
        <v>21</v>
      </c>
    </row>
    <row r="21" spans="1:7" x14ac:dyDescent="0.25">
      <c r="A21" s="2">
        <v>20</v>
      </c>
      <c r="B21" s="2" t="s">
        <v>15</v>
      </c>
      <c r="C21" s="2" t="s">
        <v>43</v>
      </c>
      <c r="D21" s="2" t="s">
        <v>68</v>
      </c>
      <c r="E21" s="2" t="s">
        <v>88</v>
      </c>
      <c r="F21" s="2" t="s">
        <v>90</v>
      </c>
      <c r="G21" s="2" t="s">
        <v>21</v>
      </c>
    </row>
    <row r="22" spans="1:7" x14ac:dyDescent="0.25">
      <c r="A22" s="2">
        <v>21</v>
      </c>
      <c r="B22" s="2" t="s">
        <v>15</v>
      </c>
      <c r="C22" s="2" t="s">
        <v>43</v>
      </c>
      <c r="D22" s="2" t="s">
        <v>68</v>
      </c>
      <c r="E22" s="2" t="s">
        <v>88</v>
      </c>
      <c r="F22" s="2" t="s">
        <v>90</v>
      </c>
      <c r="G22" s="2" t="s">
        <v>21</v>
      </c>
    </row>
    <row r="23" spans="1:7" x14ac:dyDescent="0.25">
      <c r="A23" s="2">
        <v>22</v>
      </c>
      <c r="B23" s="2" t="s">
        <v>15</v>
      </c>
      <c r="C23" s="2" t="s">
        <v>43</v>
      </c>
      <c r="D23" s="2" t="s">
        <v>68</v>
      </c>
      <c r="E23" s="2" t="s">
        <v>88</v>
      </c>
      <c r="F23" s="2" t="s">
        <v>90</v>
      </c>
      <c r="G23" s="2" t="s">
        <v>21</v>
      </c>
    </row>
    <row r="24" spans="1:7" x14ac:dyDescent="0.25">
      <c r="A24" s="2">
        <v>23</v>
      </c>
      <c r="B24" s="2" t="s">
        <v>15</v>
      </c>
      <c r="C24" s="2" t="s">
        <v>112</v>
      </c>
      <c r="D24" s="2" t="s">
        <v>50</v>
      </c>
      <c r="E24" s="2" t="s">
        <v>89</v>
      </c>
      <c r="F24" s="2" t="s">
        <v>92</v>
      </c>
      <c r="G24" s="2" t="s">
        <v>93</v>
      </c>
    </row>
    <row r="25" spans="1:7" x14ac:dyDescent="0.25">
      <c r="A25" s="2">
        <v>24</v>
      </c>
      <c r="B25" s="2" t="s">
        <v>15</v>
      </c>
      <c r="C25" s="2" t="s">
        <v>111</v>
      </c>
      <c r="D25" s="2" t="s">
        <v>51</v>
      </c>
      <c r="E25" s="2" t="s">
        <v>89</v>
      </c>
      <c r="F25" s="2" t="s">
        <v>92</v>
      </c>
      <c r="G25" s="2" t="s">
        <v>93</v>
      </c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>
        <v>25</v>
      </c>
      <c r="B27" s="2" t="s">
        <v>11</v>
      </c>
      <c r="C27" s="2" t="s">
        <v>113</v>
      </c>
      <c r="D27" s="2" t="s">
        <v>115</v>
      </c>
      <c r="E27" s="2" t="s">
        <v>89</v>
      </c>
      <c r="F27" s="2" t="s">
        <v>92</v>
      </c>
      <c r="G27" s="2" t="s">
        <v>93</v>
      </c>
    </row>
    <row r="28" spans="1:7" x14ac:dyDescent="0.25">
      <c r="A28" s="2">
        <v>26</v>
      </c>
      <c r="B28" s="2" t="s">
        <v>11</v>
      </c>
      <c r="C28" s="2" t="s">
        <v>114</v>
      </c>
      <c r="D28" s="2" t="s">
        <v>116</v>
      </c>
      <c r="E28" s="2" t="s">
        <v>89</v>
      </c>
      <c r="F28" s="2" t="s">
        <v>92</v>
      </c>
      <c r="G28" s="2" t="s">
        <v>93</v>
      </c>
    </row>
    <row r="29" spans="1:7" x14ac:dyDescent="0.25">
      <c r="A29" s="2">
        <v>27</v>
      </c>
      <c r="B29" s="2" t="s">
        <v>13</v>
      </c>
      <c r="C29" s="2" t="s">
        <v>43</v>
      </c>
      <c r="D29" s="2" t="s">
        <v>68</v>
      </c>
      <c r="E29" s="2" t="s">
        <v>88</v>
      </c>
      <c r="F29" s="2" t="s">
        <v>90</v>
      </c>
      <c r="G29" s="2" t="s">
        <v>21</v>
      </c>
    </row>
    <row r="30" spans="1:7" x14ac:dyDescent="0.25">
      <c r="A30" s="2">
        <v>28</v>
      </c>
      <c r="B30" s="2" t="s">
        <v>15</v>
      </c>
      <c r="C30" s="2" t="s">
        <v>43</v>
      </c>
      <c r="D30" s="2" t="s">
        <v>68</v>
      </c>
      <c r="E30" s="2" t="s">
        <v>88</v>
      </c>
      <c r="F30" s="2" t="s">
        <v>90</v>
      </c>
      <c r="G30" s="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A27B001-637D-4971-A264-698E8BA67805}">
          <x14:formula1>
            <xm:f>Enabled!$A$1:$A$2</xm:f>
          </x14:formula1>
          <xm:sqref>G2:G30</xm:sqref>
        </x14:dataValidation>
        <x14:dataValidation type="list" allowBlank="1" showInputMessage="1" showErrorMessage="1" xr:uid="{7BC17026-4519-4DD6-AE91-D3C654FD3677}">
          <x14:formula1>
            <xm:f>'STP Type'!$A$1:$A$3</xm:f>
          </x14:formula1>
          <xm:sqref>F2:F30</xm:sqref>
        </x14:dataValidation>
        <x14:dataValidation type="list" allowBlank="1" showInputMessage="1" showErrorMessage="1" xr:uid="{32D15A3E-0694-42C1-83D0-B69634A22874}">
          <x14:formula1>
            <xm:f>'Untagged(VLAN)'!$A$1:$A$19</xm:f>
          </x14:formula1>
          <xm:sqref>E2:E30</xm:sqref>
        </x14:dataValidation>
        <x14:dataValidation type="list" allowBlank="1" showInputMessage="1" showErrorMessage="1" xr:uid="{44B045E5-540D-4C43-AC2D-86F0607277CD}">
          <x14:formula1>
            <xm:f>PortType!$A$1:$A$21</xm:f>
          </x14:formula1>
          <xm:sqref>D2:D26</xm:sqref>
        </x14:dataValidation>
        <x14:dataValidation type="list" allowBlank="1" showInputMessage="1" showErrorMessage="1" xr:uid="{6A923601-EF99-4709-B2BE-4DAC44AF22D1}">
          <x14:formula1>
            <xm:f>Hosts!$A$1:$A$22</xm:f>
          </x14:formula1>
          <xm:sqref>C2:C23</xm:sqref>
        </x14:dataValidation>
        <x14:dataValidation type="list" allowBlank="1" showInputMessage="1" showErrorMessage="1" xr:uid="{25D07C62-BD0A-4854-819B-AB26B1CC6361}">
          <x14:formula1>
            <xm:f>Connectors!$A$1:$A$5</xm:f>
          </x14:formula1>
          <xm:sqref>B2:B30</xm:sqref>
        </x14:dataValidation>
        <x14:dataValidation type="list" allowBlank="1" showInputMessage="1" showErrorMessage="1" xr:uid="{3235487A-41E5-4092-8937-91E4C6A0809B}">
          <x14:formula1>
            <xm:f>Hosts!$A$1:$A$36</xm:f>
          </x14:formula1>
          <xm:sqref>C24:C30</xm:sqref>
        </x14:dataValidation>
        <x14:dataValidation type="list" allowBlank="1" showInputMessage="1" showErrorMessage="1" xr:uid="{1098E766-E196-456A-99C4-B9BC640C4FC2}">
          <x14:formula1>
            <xm:f>PortType!$A$1:$A$52</xm:f>
          </x14:formula1>
          <xm:sqref>D27:D30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9D19-6324-464A-BF1F-BD4737732598}">
  <dimension ref="A1:G30"/>
  <sheetViews>
    <sheetView workbookViewId="0">
      <selection activeCell="G1" sqref="G1:G1048576"/>
    </sheetView>
  </sheetViews>
  <sheetFormatPr defaultRowHeight="15" x14ac:dyDescent="0.25"/>
  <cols>
    <col min="1" max="1" width="12.28515625" customWidth="1"/>
    <col min="2" max="2" width="19.5703125" customWidth="1"/>
    <col min="3" max="3" width="23" customWidth="1"/>
    <col min="4" max="4" width="20.7109375" customWidth="1"/>
    <col min="5" max="5" width="23.28515625" customWidth="1"/>
    <col min="6" max="6" width="17.140625" customWidth="1"/>
    <col min="7" max="7" width="9.140625" customWidth="1"/>
  </cols>
  <sheetData>
    <row r="1" spans="1:7" ht="84.75" x14ac:dyDescent="0.25">
      <c r="A1" s="5" t="s">
        <v>9</v>
      </c>
      <c r="B1" s="5" t="s">
        <v>10</v>
      </c>
      <c r="C1" s="5" t="s">
        <v>16</v>
      </c>
      <c r="D1" s="5" t="s">
        <v>69</v>
      </c>
      <c r="E1" s="5" t="s">
        <v>70</v>
      </c>
      <c r="F1" s="5" t="s">
        <v>19</v>
      </c>
      <c r="G1" s="5" t="s">
        <v>20</v>
      </c>
    </row>
    <row r="2" spans="1:7" x14ac:dyDescent="0.25">
      <c r="A2" s="2">
        <v>1</v>
      </c>
      <c r="B2" s="2" t="s">
        <v>15</v>
      </c>
      <c r="C2" s="2" t="s">
        <v>33</v>
      </c>
      <c r="D2" s="2" t="s">
        <v>17</v>
      </c>
      <c r="E2" s="2" t="s">
        <v>80</v>
      </c>
      <c r="F2" s="2" t="s">
        <v>90</v>
      </c>
      <c r="G2" s="2" t="s">
        <v>93</v>
      </c>
    </row>
    <row r="3" spans="1:7" x14ac:dyDescent="0.25">
      <c r="A3" s="2">
        <v>2</v>
      </c>
      <c r="B3" s="2" t="s">
        <v>15</v>
      </c>
      <c r="C3" s="2" t="s">
        <v>34</v>
      </c>
      <c r="D3" s="2" t="s">
        <v>17</v>
      </c>
      <c r="E3" s="2" t="s">
        <v>82</v>
      </c>
      <c r="F3" s="2" t="s">
        <v>90</v>
      </c>
      <c r="G3" s="2" t="s">
        <v>93</v>
      </c>
    </row>
    <row r="4" spans="1:7" x14ac:dyDescent="0.25">
      <c r="A4" s="2">
        <v>3</v>
      </c>
      <c r="B4" s="2" t="s">
        <v>15</v>
      </c>
      <c r="C4" s="2" t="s">
        <v>99</v>
      </c>
      <c r="D4" s="2" t="s">
        <v>58</v>
      </c>
      <c r="E4" s="2" t="s">
        <v>87</v>
      </c>
      <c r="F4" s="2" t="s">
        <v>90</v>
      </c>
      <c r="G4" s="2" t="s">
        <v>93</v>
      </c>
    </row>
    <row r="5" spans="1:7" x14ac:dyDescent="0.25">
      <c r="A5" s="2">
        <v>4</v>
      </c>
      <c r="B5" s="2" t="s">
        <v>15</v>
      </c>
      <c r="C5" s="2" t="s">
        <v>100</v>
      </c>
      <c r="D5" s="2" t="s">
        <v>58</v>
      </c>
      <c r="E5" s="2" t="s">
        <v>87</v>
      </c>
      <c r="F5" s="2" t="s">
        <v>90</v>
      </c>
      <c r="G5" s="2" t="s">
        <v>93</v>
      </c>
    </row>
    <row r="6" spans="1:7" x14ac:dyDescent="0.25">
      <c r="A6" s="2">
        <v>5</v>
      </c>
      <c r="B6" s="2" t="s">
        <v>15</v>
      </c>
      <c r="C6" s="2" t="s">
        <v>101</v>
      </c>
      <c r="D6" s="2" t="s">
        <v>58</v>
      </c>
      <c r="E6" s="2" t="s">
        <v>87</v>
      </c>
      <c r="F6" s="2" t="s">
        <v>90</v>
      </c>
      <c r="G6" s="2" t="s">
        <v>93</v>
      </c>
    </row>
    <row r="7" spans="1:7" x14ac:dyDescent="0.25">
      <c r="A7" s="2">
        <v>6</v>
      </c>
      <c r="B7" s="2" t="s">
        <v>15</v>
      </c>
      <c r="C7" s="2" t="s">
        <v>43</v>
      </c>
      <c r="D7" s="2" t="s">
        <v>68</v>
      </c>
      <c r="E7" s="2" t="s">
        <v>88</v>
      </c>
      <c r="F7" s="2" t="s">
        <v>90</v>
      </c>
      <c r="G7" s="2" t="s">
        <v>21</v>
      </c>
    </row>
    <row r="8" spans="1:7" x14ac:dyDescent="0.25">
      <c r="A8" s="2">
        <v>7</v>
      </c>
      <c r="B8" s="2" t="s">
        <v>15</v>
      </c>
      <c r="C8" s="2" t="s">
        <v>43</v>
      </c>
      <c r="D8" s="2" t="s">
        <v>68</v>
      </c>
      <c r="E8" s="2" t="s">
        <v>88</v>
      </c>
      <c r="F8" s="2" t="s">
        <v>90</v>
      </c>
      <c r="G8" s="2" t="s">
        <v>21</v>
      </c>
    </row>
    <row r="9" spans="1:7" x14ac:dyDescent="0.25">
      <c r="A9" s="2">
        <v>8</v>
      </c>
      <c r="B9" s="2" t="s">
        <v>15</v>
      </c>
      <c r="C9" s="2" t="s">
        <v>43</v>
      </c>
      <c r="D9" s="2" t="s">
        <v>68</v>
      </c>
      <c r="E9" s="2" t="s">
        <v>88</v>
      </c>
      <c r="F9" s="2" t="s">
        <v>90</v>
      </c>
      <c r="G9" s="2" t="s">
        <v>21</v>
      </c>
    </row>
    <row r="10" spans="1:7" x14ac:dyDescent="0.25">
      <c r="A10" s="2">
        <v>9</v>
      </c>
      <c r="B10" s="2" t="s">
        <v>15</v>
      </c>
      <c r="C10" s="2" t="s">
        <v>43</v>
      </c>
      <c r="D10" s="2" t="s">
        <v>68</v>
      </c>
      <c r="E10" s="2" t="s">
        <v>88</v>
      </c>
      <c r="F10" s="2" t="s">
        <v>90</v>
      </c>
      <c r="G10" s="2" t="s">
        <v>21</v>
      </c>
    </row>
    <row r="11" spans="1:7" x14ac:dyDescent="0.25">
      <c r="A11" s="2">
        <v>10</v>
      </c>
      <c r="B11" s="2" t="s">
        <v>15</v>
      </c>
      <c r="C11" s="2" t="s">
        <v>43</v>
      </c>
      <c r="D11" s="2" t="s">
        <v>68</v>
      </c>
      <c r="E11" s="2" t="s">
        <v>88</v>
      </c>
      <c r="F11" s="2" t="s">
        <v>90</v>
      </c>
      <c r="G11" s="2" t="s">
        <v>21</v>
      </c>
    </row>
    <row r="12" spans="1:7" x14ac:dyDescent="0.25">
      <c r="A12" s="2">
        <v>11</v>
      </c>
      <c r="B12" s="2" t="s">
        <v>15</v>
      </c>
      <c r="C12" s="2" t="s">
        <v>43</v>
      </c>
      <c r="D12" s="2" t="s">
        <v>68</v>
      </c>
      <c r="E12" s="2" t="s">
        <v>88</v>
      </c>
      <c r="F12" s="2" t="s">
        <v>90</v>
      </c>
      <c r="G12" s="2" t="s">
        <v>21</v>
      </c>
    </row>
    <row r="13" spans="1:7" x14ac:dyDescent="0.25">
      <c r="A13" s="2">
        <v>12</v>
      </c>
      <c r="B13" s="2" t="s">
        <v>15</v>
      </c>
      <c r="C13" s="2" t="s">
        <v>43</v>
      </c>
      <c r="D13" s="2" t="s">
        <v>68</v>
      </c>
      <c r="E13" s="2" t="s">
        <v>88</v>
      </c>
      <c r="F13" s="2" t="s">
        <v>90</v>
      </c>
      <c r="G13" s="2" t="s">
        <v>21</v>
      </c>
    </row>
    <row r="14" spans="1:7" x14ac:dyDescent="0.25">
      <c r="A14" s="2">
        <v>13</v>
      </c>
      <c r="B14" s="2" t="s">
        <v>15</v>
      </c>
      <c r="C14" s="2" t="s">
        <v>43</v>
      </c>
      <c r="D14" s="2" t="s">
        <v>68</v>
      </c>
      <c r="E14" s="2" t="s">
        <v>88</v>
      </c>
      <c r="F14" s="2" t="s">
        <v>90</v>
      </c>
      <c r="G14" s="2" t="s">
        <v>21</v>
      </c>
    </row>
    <row r="15" spans="1:7" x14ac:dyDescent="0.25">
      <c r="A15" s="2">
        <v>14</v>
      </c>
      <c r="B15" s="2" t="s">
        <v>15</v>
      </c>
      <c r="C15" s="2" t="s">
        <v>43</v>
      </c>
      <c r="D15" s="2" t="s">
        <v>68</v>
      </c>
      <c r="E15" s="2" t="s">
        <v>88</v>
      </c>
      <c r="F15" s="2" t="s">
        <v>90</v>
      </c>
      <c r="G15" s="2" t="s">
        <v>21</v>
      </c>
    </row>
    <row r="16" spans="1:7" x14ac:dyDescent="0.25">
      <c r="A16" s="2">
        <v>15</v>
      </c>
      <c r="B16" s="2" t="s">
        <v>15</v>
      </c>
      <c r="C16" s="2" t="s">
        <v>43</v>
      </c>
      <c r="D16" s="2" t="s">
        <v>68</v>
      </c>
      <c r="E16" s="2" t="s">
        <v>88</v>
      </c>
      <c r="F16" s="2" t="s">
        <v>90</v>
      </c>
      <c r="G16" s="2" t="s">
        <v>21</v>
      </c>
    </row>
    <row r="17" spans="1:7" x14ac:dyDescent="0.25">
      <c r="A17" s="2">
        <v>16</v>
      </c>
      <c r="B17" s="2" t="s">
        <v>15</v>
      </c>
      <c r="C17" s="2" t="s">
        <v>43</v>
      </c>
      <c r="D17" s="2" t="s">
        <v>68</v>
      </c>
      <c r="E17" s="2" t="s">
        <v>88</v>
      </c>
      <c r="F17" s="2" t="s">
        <v>90</v>
      </c>
      <c r="G17" s="2" t="s">
        <v>21</v>
      </c>
    </row>
    <row r="18" spans="1:7" x14ac:dyDescent="0.25">
      <c r="A18" s="2">
        <v>17</v>
      </c>
      <c r="B18" s="2" t="s">
        <v>15</v>
      </c>
      <c r="C18" s="2" t="s">
        <v>43</v>
      </c>
      <c r="D18" s="2" t="s">
        <v>68</v>
      </c>
      <c r="E18" s="2" t="s">
        <v>88</v>
      </c>
      <c r="F18" s="2" t="s">
        <v>90</v>
      </c>
      <c r="G18" s="2" t="s">
        <v>21</v>
      </c>
    </row>
    <row r="19" spans="1:7" x14ac:dyDescent="0.25">
      <c r="A19" s="2">
        <v>18</v>
      </c>
      <c r="B19" s="2" t="s">
        <v>15</v>
      </c>
      <c r="C19" s="2" t="s">
        <v>43</v>
      </c>
      <c r="D19" s="2" t="s">
        <v>68</v>
      </c>
      <c r="E19" s="2" t="s">
        <v>88</v>
      </c>
      <c r="F19" s="2" t="s">
        <v>90</v>
      </c>
      <c r="G19" s="2" t="s">
        <v>21</v>
      </c>
    </row>
    <row r="20" spans="1:7" x14ac:dyDescent="0.25">
      <c r="A20" s="2">
        <v>19</v>
      </c>
      <c r="B20" s="2" t="s">
        <v>15</v>
      </c>
      <c r="C20" s="2" t="s">
        <v>43</v>
      </c>
      <c r="D20" s="2" t="s">
        <v>68</v>
      </c>
      <c r="E20" s="2" t="s">
        <v>88</v>
      </c>
      <c r="F20" s="2" t="s">
        <v>90</v>
      </c>
      <c r="G20" s="2" t="s">
        <v>21</v>
      </c>
    </row>
    <row r="21" spans="1:7" x14ac:dyDescent="0.25">
      <c r="A21" s="2">
        <v>20</v>
      </c>
      <c r="B21" s="2" t="s">
        <v>15</v>
      </c>
      <c r="C21" s="2" t="s">
        <v>43</v>
      </c>
      <c r="D21" s="2" t="s">
        <v>68</v>
      </c>
      <c r="E21" s="2" t="s">
        <v>88</v>
      </c>
      <c r="F21" s="2" t="s">
        <v>90</v>
      </c>
      <c r="G21" s="2" t="s">
        <v>21</v>
      </c>
    </row>
    <row r="22" spans="1:7" x14ac:dyDescent="0.25">
      <c r="A22" s="2">
        <v>21</v>
      </c>
      <c r="B22" s="2" t="s">
        <v>15</v>
      </c>
      <c r="C22" s="2" t="s">
        <v>43</v>
      </c>
      <c r="D22" s="2" t="s">
        <v>68</v>
      </c>
      <c r="E22" s="2" t="s">
        <v>88</v>
      </c>
      <c r="F22" s="2" t="s">
        <v>90</v>
      </c>
      <c r="G22" s="2" t="s">
        <v>21</v>
      </c>
    </row>
    <row r="23" spans="1:7" x14ac:dyDescent="0.25">
      <c r="A23" s="2">
        <v>22</v>
      </c>
      <c r="B23" s="2" t="s">
        <v>15</v>
      </c>
      <c r="C23" s="2" t="s">
        <v>43</v>
      </c>
      <c r="D23" s="2" t="s">
        <v>68</v>
      </c>
      <c r="E23" s="2" t="s">
        <v>88</v>
      </c>
      <c r="F23" s="2" t="s">
        <v>90</v>
      </c>
      <c r="G23" s="2" t="s">
        <v>21</v>
      </c>
    </row>
    <row r="24" spans="1:7" x14ac:dyDescent="0.25">
      <c r="A24" s="2">
        <v>23</v>
      </c>
      <c r="B24" s="2" t="s">
        <v>15</v>
      </c>
      <c r="C24" s="2" t="s">
        <v>113</v>
      </c>
      <c r="D24" s="2" t="s">
        <v>50</v>
      </c>
      <c r="E24" s="2" t="s">
        <v>89</v>
      </c>
      <c r="F24" s="2" t="s">
        <v>92</v>
      </c>
      <c r="G24" s="2" t="s">
        <v>93</v>
      </c>
    </row>
    <row r="25" spans="1:7" x14ac:dyDescent="0.25">
      <c r="A25" s="2">
        <v>24</v>
      </c>
      <c r="B25" s="2" t="s">
        <v>15</v>
      </c>
      <c r="C25" s="2" t="s">
        <v>114</v>
      </c>
      <c r="D25" s="2" t="s">
        <v>51</v>
      </c>
      <c r="E25" s="2" t="s">
        <v>89</v>
      </c>
      <c r="F25" s="2" t="s">
        <v>92</v>
      </c>
      <c r="G25" s="2" t="s">
        <v>93</v>
      </c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>
        <v>25</v>
      </c>
      <c r="B27" s="2" t="s">
        <v>11</v>
      </c>
      <c r="C27" s="2" t="s">
        <v>113</v>
      </c>
      <c r="D27" s="2" t="s">
        <v>115</v>
      </c>
      <c r="E27" s="2" t="s">
        <v>89</v>
      </c>
      <c r="F27" s="2" t="s">
        <v>92</v>
      </c>
      <c r="G27" s="2" t="s">
        <v>93</v>
      </c>
    </row>
    <row r="28" spans="1:7" x14ac:dyDescent="0.25">
      <c r="A28" s="2">
        <v>26</v>
      </c>
      <c r="B28" s="2" t="s">
        <v>11</v>
      </c>
      <c r="C28" s="2" t="s">
        <v>114</v>
      </c>
      <c r="D28" s="2" t="s">
        <v>116</v>
      </c>
      <c r="E28" s="2" t="s">
        <v>89</v>
      </c>
      <c r="F28" s="2" t="s">
        <v>92</v>
      </c>
      <c r="G28" s="2" t="s">
        <v>93</v>
      </c>
    </row>
    <row r="29" spans="1:7" x14ac:dyDescent="0.25">
      <c r="A29" s="2">
        <v>27</v>
      </c>
      <c r="B29" s="2" t="s">
        <v>13</v>
      </c>
      <c r="C29" s="2" t="s">
        <v>43</v>
      </c>
      <c r="D29" s="2" t="s">
        <v>68</v>
      </c>
      <c r="E29" s="2" t="s">
        <v>88</v>
      </c>
      <c r="F29" s="2" t="s">
        <v>90</v>
      </c>
      <c r="G29" s="2" t="s">
        <v>21</v>
      </c>
    </row>
    <row r="30" spans="1:7" x14ac:dyDescent="0.25">
      <c r="A30" s="2">
        <v>28</v>
      </c>
      <c r="B30" s="2" t="s">
        <v>15</v>
      </c>
      <c r="C30" s="2" t="s">
        <v>43</v>
      </c>
      <c r="D30" s="2" t="s">
        <v>68</v>
      </c>
      <c r="E30" s="2" t="s">
        <v>88</v>
      </c>
      <c r="F30" s="2" t="s">
        <v>90</v>
      </c>
      <c r="G30" s="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F0CDE97-780B-4A48-B8CB-95DF336CAEAF}">
          <x14:formula1>
            <xm:f>PortType!$A$1:$A$52</xm:f>
          </x14:formula1>
          <xm:sqref>D27:D30</xm:sqref>
        </x14:dataValidation>
        <x14:dataValidation type="list" allowBlank="1" showInputMessage="1" showErrorMessage="1" xr:uid="{FF564590-3A14-469C-85D9-7E02416225B0}">
          <x14:formula1>
            <xm:f>Hosts!$A$1:$A$36</xm:f>
          </x14:formula1>
          <xm:sqref>C24:C30</xm:sqref>
        </x14:dataValidation>
        <x14:dataValidation type="list" allowBlank="1" showInputMessage="1" showErrorMessage="1" xr:uid="{977BF7EF-8571-4E8D-A173-D8201DE74E23}">
          <x14:formula1>
            <xm:f>Connectors!$A$1:$A$5</xm:f>
          </x14:formula1>
          <xm:sqref>B2:B30</xm:sqref>
        </x14:dataValidation>
        <x14:dataValidation type="list" allowBlank="1" showInputMessage="1" showErrorMessage="1" xr:uid="{388FF9C3-73FB-457A-885E-1255DF767325}">
          <x14:formula1>
            <xm:f>Hosts!$A$1:$A$22</xm:f>
          </x14:formula1>
          <xm:sqref>C2:C23</xm:sqref>
        </x14:dataValidation>
        <x14:dataValidation type="list" allowBlank="1" showInputMessage="1" showErrorMessage="1" xr:uid="{BA3E0ACA-5122-434F-AE2A-0874D891B802}">
          <x14:formula1>
            <xm:f>PortType!$A$1:$A$21</xm:f>
          </x14:formula1>
          <xm:sqref>D2:D26</xm:sqref>
        </x14:dataValidation>
        <x14:dataValidation type="list" allowBlank="1" showInputMessage="1" showErrorMessage="1" xr:uid="{00DC3720-617D-4CD3-B47D-40B8582D537B}">
          <x14:formula1>
            <xm:f>'Untagged(VLAN)'!$A$1:$A$19</xm:f>
          </x14:formula1>
          <xm:sqref>E2:E30</xm:sqref>
        </x14:dataValidation>
        <x14:dataValidation type="list" allowBlank="1" showInputMessage="1" showErrorMessage="1" xr:uid="{A862E226-5703-4FE3-9F96-378E17CC1111}">
          <x14:formula1>
            <xm:f>'STP Type'!$A$1:$A$3</xm:f>
          </x14:formula1>
          <xm:sqref>F2:F30</xm:sqref>
        </x14:dataValidation>
        <x14:dataValidation type="list" allowBlank="1" showInputMessage="1" showErrorMessage="1" xr:uid="{5E7F8CA3-8FAA-41C9-9B37-9E7060C9DE70}">
          <x14:formula1>
            <xm:f>Enabled!$A$1:$A$2</xm:f>
          </x14:formula1>
          <xm:sqref>G2:G30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AD19-9DC9-47C2-A23D-7C836384D25E}">
  <dimension ref="A1:G30"/>
  <sheetViews>
    <sheetView tabSelected="1" workbookViewId="0">
      <selection activeCell="P10" sqref="P10"/>
    </sheetView>
  </sheetViews>
  <sheetFormatPr defaultRowHeight="15" x14ac:dyDescent="0.25"/>
  <cols>
    <col min="1" max="1" width="18.7109375" customWidth="1"/>
    <col min="2" max="2" width="28.85546875" customWidth="1"/>
    <col min="3" max="3" width="24" customWidth="1"/>
    <col min="4" max="4" width="28.42578125" customWidth="1"/>
    <col min="5" max="5" width="22.85546875" customWidth="1"/>
    <col min="6" max="6" width="22.28515625" customWidth="1"/>
    <col min="7" max="7" width="16.5703125" customWidth="1"/>
  </cols>
  <sheetData>
    <row r="1" spans="1:7" ht="84.75" x14ac:dyDescent="0.25">
      <c r="A1" s="5" t="s">
        <v>9</v>
      </c>
      <c r="B1" s="5" t="s">
        <v>10</v>
      </c>
      <c r="C1" s="5" t="s">
        <v>16</v>
      </c>
      <c r="D1" s="5" t="s">
        <v>69</v>
      </c>
      <c r="E1" s="5" t="s">
        <v>70</v>
      </c>
      <c r="F1" s="5" t="s">
        <v>19</v>
      </c>
      <c r="G1" s="5" t="s">
        <v>20</v>
      </c>
    </row>
    <row r="2" spans="1:7" x14ac:dyDescent="0.25">
      <c r="A2" s="2">
        <v>1</v>
      </c>
      <c r="B2" s="2" t="s">
        <v>15</v>
      </c>
      <c r="C2" s="2" t="s">
        <v>33</v>
      </c>
      <c r="D2" s="2" t="s">
        <v>17</v>
      </c>
      <c r="E2" s="2" t="s">
        <v>80</v>
      </c>
      <c r="F2" s="2" t="s">
        <v>90</v>
      </c>
      <c r="G2" s="2" t="s">
        <v>93</v>
      </c>
    </row>
    <row r="3" spans="1:7" x14ac:dyDescent="0.25">
      <c r="A3" s="2">
        <v>2</v>
      </c>
      <c r="B3" s="2" t="s">
        <v>15</v>
      </c>
      <c r="C3" s="2" t="s">
        <v>34</v>
      </c>
      <c r="D3" s="2" t="s">
        <v>17</v>
      </c>
      <c r="E3" s="2" t="s">
        <v>82</v>
      </c>
      <c r="F3" s="2" t="s">
        <v>90</v>
      </c>
      <c r="G3" s="2" t="s">
        <v>93</v>
      </c>
    </row>
    <row r="4" spans="1:7" x14ac:dyDescent="0.25">
      <c r="A4" s="2">
        <v>3</v>
      </c>
      <c r="B4" s="2" t="s">
        <v>15</v>
      </c>
      <c r="C4" s="2" t="s">
        <v>118</v>
      </c>
      <c r="D4" s="2" t="s">
        <v>66</v>
      </c>
      <c r="E4" s="2" t="s">
        <v>77</v>
      </c>
      <c r="F4" s="2" t="s">
        <v>90</v>
      </c>
      <c r="G4" s="2" t="s">
        <v>93</v>
      </c>
    </row>
    <row r="5" spans="1:7" x14ac:dyDescent="0.25">
      <c r="A5" s="2">
        <v>4</v>
      </c>
      <c r="B5" s="2" t="s">
        <v>15</v>
      </c>
      <c r="C5" s="2" t="s">
        <v>43</v>
      </c>
      <c r="D5" s="2" t="s">
        <v>68</v>
      </c>
      <c r="E5" s="2" t="s">
        <v>88</v>
      </c>
      <c r="F5" s="2" t="s">
        <v>90</v>
      </c>
      <c r="G5" s="2" t="s">
        <v>21</v>
      </c>
    </row>
    <row r="6" spans="1:7" x14ac:dyDescent="0.25">
      <c r="A6" s="2">
        <v>5</v>
      </c>
      <c r="B6" s="2" t="s">
        <v>15</v>
      </c>
      <c r="C6" s="2" t="s">
        <v>43</v>
      </c>
      <c r="D6" s="2" t="s">
        <v>68</v>
      </c>
      <c r="E6" s="2" t="s">
        <v>88</v>
      </c>
      <c r="F6" s="2" t="s">
        <v>90</v>
      </c>
      <c r="G6" s="2" t="s">
        <v>21</v>
      </c>
    </row>
    <row r="7" spans="1:7" x14ac:dyDescent="0.25">
      <c r="A7" s="2">
        <v>6</v>
      </c>
      <c r="B7" s="2" t="s">
        <v>15</v>
      </c>
      <c r="C7" s="2" t="s">
        <v>43</v>
      </c>
      <c r="D7" s="2" t="s">
        <v>68</v>
      </c>
      <c r="E7" s="2" t="s">
        <v>88</v>
      </c>
      <c r="F7" s="2" t="s">
        <v>90</v>
      </c>
      <c r="G7" s="2" t="s">
        <v>21</v>
      </c>
    </row>
    <row r="8" spans="1:7" x14ac:dyDescent="0.25">
      <c r="A8" s="2">
        <v>7</v>
      </c>
      <c r="B8" s="2" t="s">
        <v>15</v>
      </c>
      <c r="C8" s="2" t="s">
        <v>43</v>
      </c>
      <c r="D8" s="2" t="s">
        <v>68</v>
      </c>
      <c r="E8" s="2" t="s">
        <v>88</v>
      </c>
      <c r="F8" s="2" t="s">
        <v>90</v>
      </c>
      <c r="G8" s="2" t="s">
        <v>21</v>
      </c>
    </row>
    <row r="9" spans="1:7" x14ac:dyDescent="0.25">
      <c r="A9" s="2">
        <v>8</v>
      </c>
      <c r="B9" s="2" t="s">
        <v>15</v>
      </c>
      <c r="C9" s="2" t="s">
        <v>43</v>
      </c>
      <c r="D9" s="2" t="s">
        <v>68</v>
      </c>
      <c r="E9" s="2" t="s">
        <v>88</v>
      </c>
      <c r="F9" s="2" t="s">
        <v>90</v>
      </c>
      <c r="G9" s="2" t="s">
        <v>21</v>
      </c>
    </row>
    <row r="10" spans="1:7" x14ac:dyDescent="0.25">
      <c r="A10" s="2">
        <v>9</v>
      </c>
      <c r="B10" s="2" t="s">
        <v>15</v>
      </c>
      <c r="C10" s="2" t="s">
        <v>43</v>
      </c>
      <c r="D10" s="2" t="s">
        <v>68</v>
      </c>
      <c r="E10" s="2" t="s">
        <v>88</v>
      </c>
      <c r="F10" s="2" t="s">
        <v>90</v>
      </c>
      <c r="G10" s="2" t="s">
        <v>21</v>
      </c>
    </row>
    <row r="11" spans="1:7" x14ac:dyDescent="0.25">
      <c r="A11" s="2">
        <v>10</v>
      </c>
      <c r="B11" s="2" t="s">
        <v>15</v>
      </c>
      <c r="C11" s="2" t="s">
        <v>43</v>
      </c>
      <c r="D11" s="2" t="s">
        <v>68</v>
      </c>
      <c r="E11" s="2" t="s">
        <v>88</v>
      </c>
      <c r="F11" s="2" t="s">
        <v>90</v>
      </c>
      <c r="G11" s="2" t="s">
        <v>21</v>
      </c>
    </row>
    <row r="12" spans="1:7" x14ac:dyDescent="0.25">
      <c r="A12" s="2">
        <v>11</v>
      </c>
      <c r="B12" s="2" t="s">
        <v>15</v>
      </c>
      <c r="C12" s="2" t="s">
        <v>43</v>
      </c>
      <c r="D12" s="2" t="s">
        <v>68</v>
      </c>
      <c r="E12" s="2" t="s">
        <v>88</v>
      </c>
      <c r="F12" s="2" t="s">
        <v>90</v>
      </c>
      <c r="G12" s="2" t="s">
        <v>21</v>
      </c>
    </row>
    <row r="13" spans="1:7" x14ac:dyDescent="0.25">
      <c r="A13" s="2">
        <v>12</v>
      </c>
      <c r="B13" s="2" t="s">
        <v>15</v>
      </c>
      <c r="C13" s="2" t="s">
        <v>43</v>
      </c>
      <c r="D13" s="2" t="s">
        <v>68</v>
      </c>
      <c r="E13" s="2" t="s">
        <v>88</v>
      </c>
      <c r="F13" s="2" t="s">
        <v>90</v>
      </c>
      <c r="G13" s="2" t="s">
        <v>21</v>
      </c>
    </row>
    <row r="14" spans="1:7" x14ac:dyDescent="0.25">
      <c r="A14" s="2">
        <v>13</v>
      </c>
      <c r="B14" s="2" t="s">
        <v>15</v>
      </c>
      <c r="C14" s="2" t="s">
        <v>43</v>
      </c>
      <c r="D14" s="2" t="s">
        <v>68</v>
      </c>
      <c r="E14" s="2" t="s">
        <v>88</v>
      </c>
      <c r="F14" s="2" t="s">
        <v>90</v>
      </c>
      <c r="G14" s="2" t="s">
        <v>21</v>
      </c>
    </row>
    <row r="15" spans="1:7" x14ac:dyDescent="0.25">
      <c r="A15" s="2">
        <v>14</v>
      </c>
      <c r="B15" s="2" t="s">
        <v>15</v>
      </c>
      <c r="C15" s="2" t="s">
        <v>43</v>
      </c>
      <c r="D15" s="2" t="s">
        <v>68</v>
      </c>
      <c r="E15" s="2" t="s">
        <v>88</v>
      </c>
      <c r="F15" s="2" t="s">
        <v>90</v>
      </c>
      <c r="G15" s="2" t="s">
        <v>21</v>
      </c>
    </row>
    <row r="16" spans="1:7" x14ac:dyDescent="0.25">
      <c r="A16" s="2">
        <v>15</v>
      </c>
      <c r="B16" s="2" t="s">
        <v>15</v>
      </c>
      <c r="C16" s="2" t="s">
        <v>43</v>
      </c>
      <c r="D16" s="2" t="s">
        <v>68</v>
      </c>
      <c r="E16" s="2" t="s">
        <v>88</v>
      </c>
      <c r="F16" s="2" t="s">
        <v>90</v>
      </c>
      <c r="G16" s="2" t="s">
        <v>21</v>
      </c>
    </row>
    <row r="17" spans="1:7" x14ac:dyDescent="0.25">
      <c r="A17" s="2">
        <v>16</v>
      </c>
      <c r="B17" s="2" t="s">
        <v>15</v>
      </c>
      <c r="C17" s="2" t="s">
        <v>43</v>
      </c>
      <c r="D17" s="2" t="s">
        <v>68</v>
      </c>
      <c r="E17" s="2" t="s">
        <v>88</v>
      </c>
      <c r="F17" s="2" t="s">
        <v>90</v>
      </c>
      <c r="G17" s="2" t="s">
        <v>21</v>
      </c>
    </row>
    <row r="18" spans="1:7" x14ac:dyDescent="0.25">
      <c r="A18" s="2">
        <v>17</v>
      </c>
      <c r="B18" s="2" t="s">
        <v>15</v>
      </c>
      <c r="C18" s="2" t="s">
        <v>43</v>
      </c>
      <c r="D18" s="2" t="s">
        <v>68</v>
      </c>
      <c r="E18" s="2" t="s">
        <v>88</v>
      </c>
      <c r="F18" s="2" t="s">
        <v>90</v>
      </c>
      <c r="G18" s="2" t="s">
        <v>21</v>
      </c>
    </row>
    <row r="19" spans="1:7" x14ac:dyDescent="0.25">
      <c r="A19" s="2">
        <v>18</v>
      </c>
      <c r="B19" s="2" t="s">
        <v>15</v>
      </c>
      <c r="C19" s="2" t="s">
        <v>43</v>
      </c>
      <c r="D19" s="2" t="s">
        <v>68</v>
      </c>
      <c r="E19" s="2" t="s">
        <v>88</v>
      </c>
      <c r="F19" s="2" t="s">
        <v>90</v>
      </c>
      <c r="G19" s="2" t="s">
        <v>21</v>
      </c>
    </row>
    <row r="20" spans="1:7" x14ac:dyDescent="0.25">
      <c r="A20" s="2">
        <v>19</v>
      </c>
      <c r="B20" s="2" t="s">
        <v>15</v>
      </c>
      <c r="C20" s="2" t="s">
        <v>43</v>
      </c>
      <c r="D20" s="2" t="s">
        <v>68</v>
      </c>
      <c r="E20" s="2" t="s">
        <v>88</v>
      </c>
      <c r="F20" s="2" t="s">
        <v>90</v>
      </c>
      <c r="G20" s="2" t="s">
        <v>21</v>
      </c>
    </row>
    <row r="21" spans="1:7" x14ac:dyDescent="0.25">
      <c r="A21" s="2">
        <v>20</v>
      </c>
      <c r="B21" s="2" t="s">
        <v>15</v>
      </c>
      <c r="C21" s="2" t="s">
        <v>43</v>
      </c>
      <c r="D21" s="2" t="s">
        <v>68</v>
      </c>
      <c r="E21" s="2" t="s">
        <v>88</v>
      </c>
      <c r="F21" s="2" t="s">
        <v>90</v>
      </c>
      <c r="G21" s="2" t="s">
        <v>21</v>
      </c>
    </row>
    <row r="22" spans="1:7" x14ac:dyDescent="0.25">
      <c r="A22" s="2">
        <v>21</v>
      </c>
      <c r="B22" s="2" t="s">
        <v>15</v>
      </c>
      <c r="C22" s="2" t="s">
        <v>43</v>
      </c>
      <c r="D22" s="2" t="s">
        <v>68</v>
      </c>
      <c r="E22" s="2" t="s">
        <v>88</v>
      </c>
      <c r="F22" s="2" t="s">
        <v>90</v>
      </c>
      <c r="G22" s="2" t="s">
        <v>21</v>
      </c>
    </row>
    <row r="23" spans="1:7" x14ac:dyDescent="0.25">
      <c r="A23" s="2">
        <v>22</v>
      </c>
      <c r="B23" s="2" t="s">
        <v>15</v>
      </c>
      <c r="C23" s="2" t="s">
        <v>43</v>
      </c>
      <c r="D23" s="2" t="s">
        <v>68</v>
      </c>
      <c r="E23" s="2" t="s">
        <v>88</v>
      </c>
      <c r="F23" s="2" t="s">
        <v>90</v>
      </c>
      <c r="G23" s="2" t="s">
        <v>21</v>
      </c>
    </row>
    <row r="24" spans="1:7" x14ac:dyDescent="0.25">
      <c r="A24" s="2">
        <v>23</v>
      </c>
      <c r="B24" s="2" t="s">
        <v>15</v>
      </c>
      <c r="C24" s="2" t="s">
        <v>43</v>
      </c>
      <c r="D24" s="2" t="s">
        <v>68</v>
      </c>
      <c r="E24" s="2" t="s">
        <v>88</v>
      </c>
      <c r="F24" s="2" t="s">
        <v>90</v>
      </c>
      <c r="G24" s="2" t="s">
        <v>21</v>
      </c>
    </row>
    <row r="25" spans="1:7" x14ac:dyDescent="0.25">
      <c r="A25" s="2">
        <v>24</v>
      </c>
      <c r="B25" s="2" t="s">
        <v>15</v>
      </c>
      <c r="C25" s="2" t="s">
        <v>43</v>
      </c>
      <c r="D25" s="2" t="s">
        <v>68</v>
      </c>
      <c r="E25" s="2" t="s">
        <v>88</v>
      </c>
      <c r="F25" s="2" t="s">
        <v>90</v>
      </c>
      <c r="G25" s="2" t="s">
        <v>21</v>
      </c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>
        <v>25</v>
      </c>
      <c r="B27" s="2" t="s">
        <v>11</v>
      </c>
      <c r="C27" s="2" t="s">
        <v>119</v>
      </c>
      <c r="D27" s="2" t="s">
        <v>121</v>
      </c>
      <c r="E27" s="2" t="s">
        <v>89</v>
      </c>
      <c r="F27" s="2" t="s">
        <v>92</v>
      </c>
      <c r="G27" s="2" t="s">
        <v>93</v>
      </c>
    </row>
    <row r="28" spans="1:7" x14ac:dyDescent="0.25">
      <c r="A28" s="2">
        <v>26</v>
      </c>
      <c r="B28" s="2" t="s">
        <v>11</v>
      </c>
      <c r="C28" s="2" t="s">
        <v>120</v>
      </c>
      <c r="D28" s="2" t="s">
        <v>122</v>
      </c>
      <c r="E28" s="2" t="s">
        <v>89</v>
      </c>
      <c r="F28" s="2" t="s">
        <v>92</v>
      </c>
      <c r="G28" s="2" t="s">
        <v>93</v>
      </c>
    </row>
    <row r="29" spans="1:7" x14ac:dyDescent="0.25">
      <c r="A29" s="2">
        <v>27</v>
      </c>
      <c r="B29" s="2" t="s">
        <v>13</v>
      </c>
      <c r="C29" s="2" t="s">
        <v>43</v>
      </c>
      <c r="D29" s="2" t="s">
        <v>68</v>
      </c>
      <c r="E29" s="2" t="s">
        <v>88</v>
      </c>
      <c r="F29" s="2" t="s">
        <v>90</v>
      </c>
      <c r="G29" s="2" t="s">
        <v>21</v>
      </c>
    </row>
    <row r="30" spans="1:7" x14ac:dyDescent="0.25">
      <c r="A30" s="2">
        <v>28</v>
      </c>
      <c r="B30" s="2" t="s">
        <v>15</v>
      </c>
      <c r="C30" s="2" t="s">
        <v>43</v>
      </c>
      <c r="D30" s="2" t="s">
        <v>68</v>
      </c>
      <c r="E30" s="2" t="s">
        <v>88</v>
      </c>
      <c r="F30" s="2" t="s">
        <v>90</v>
      </c>
      <c r="G30" s="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389DBC2-1B90-4FB4-BAD5-7E5C8B3ECDE5}">
          <x14:formula1>
            <xm:f>Enabled!$A$1:$A$2</xm:f>
          </x14:formula1>
          <xm:sqref>G2:G30</xm:sqref>
        </x14:dataValidation>
        <x14:dataValidation type="list" allowBlank="1" showInputMessage="1" showErrorMessage="1" xr:uid="{E0058523-F21F-4628-B824-BEB5EB2F661E}">
          <x14:formula1>
            <xm:f>'STP Type'!$A$1:$A$3</xm:f>
          </x14:formula1>
          <xm:sqref>F2:F30</xm:sqref>
        </x14:dataValidation>
        <x14:dataValidation type="list" allowBlank="1" showInputMessage="1" showErrorMessage="1" xr:uid="{40A1F7C6-34B0-42BE-A864-67CC1FC40D57}">
          <x14:formula1>
            <xm:f>'Untagged(VLAN)'!$A$1:$A$19</xm:f>
          </x14:formula1>
          <xm:sqref>E2:E30</xm:sqref>
        </x14:dataValidation>
        <x14:dataValidation type="list" allowBlank="1" showInputMessage="1" showErrorMessage="1" xr:uid="{E943BEB4-AEB2-4BCD-AC91-44D9E5B9F6B9}">
          <x14:formula1>
            <xm:f>PortType!$A$1:$A$21</xm:f>
          </x14:formula1>
          <xm:sqref>D2:D26</xm:sqref>
        </x14:dataValidation>
        <x14:dataValidation type="list" allowBlank="1" showInputMessage="1" showErrorMessage="1" xr:uid="{6CA9F964-3362-420E-9248-F0E8F371959F}">
          <x14:formula1>
            <xm:f>Hosts!$A$1:$A$22</xm:f>
          </x14:formula1>
          <xm:sqref>C2:C25</xm:sqref>
        </x14:dataValidation>
        <x14:dataValidation type="list" allowBlank="1" showInputMessage="1" showErrorMessage="1" xr:uid="{134F0C88-ED69-4957-94D9-D4168C3364ED}">
          <x14:formula1>
            <xm:f>Connectors!$A$1:$A$5</xm:f>
          </x14:formula1>
          <xm:sqref>B2:B30</xm:sqref>
        </x14:dataValidation>
        <x14:dataValidation type="list" allowBlank="1" showInputMessage="1" showErrorMessage="1" xr:uid="{3D0E9B5D-249F-4237-AE22-205EFF6A16B9}">
          <x14:formula1>
            <xm:f>Hosts!$A$1:$A$36</xm:f>
          </x14:formula1>
          <xm:sqref>C26:C30</xm:sqref>
        </x14:dataValidation>
        <x14:dataValidation type="list" allowBlank="1" showInputMessage="1" showErrorMessage="1" xr:uid="{8B06A173-7004-432C-96E6-CDB3A9731B16}">
          <x14:formula1>
            <xm:f>PortType!$A$1:$A$52</xm:f>
          </x14:formula1>
          <xm:sqref>D27:D30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D543-7D85-4E8E-80D4-42421BCAA55F}">
  <dimension ref="A1:A5"/>
  <sheetViews>
    <sheetView workbookViewId="0">
      <selection activeCell="E32" sqref="E32"/>
    </sheetView>
  </sheetViews>
  <sheetFormatPr defaultRowHeight="15" x14ac:dyDescent="0.25"/>
  <cols>
    <col min="1" max="1" width="16.28515625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238-F2E6-4E32-B024-A868720FE91B}">
  <dimension ref="A1:A28"/>
  <sheetViews>
    <sheetView workbookViewId="0">
      <selection activeCell="B33" sqref="B33"/>
    </sheetView>
  </sheetViews>
  <sheetFormatPr defaultRowHeight="15" x14ac:dyDescent="0.25"/>
  <cols>
    <col min="1" max="1" width="18.5703125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101</v>
      </c>
    </row>
    <row r="8" spans="1:1" x14ac:dyDescent="0.25">
      <c r="A8" t="s">
        <v>102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99</v>
      </c>
    </row>
    <row r="12" spans="1:1" x14ac:dyDescent="0.25">
      <c r="A12" t="s">
        <v>100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118</v>
      </c>
    </row>
    <row r="16" spans="1:1" x14ac:dyDescent="0.25">
      <c r="A16" t="s">
        <v>103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111</v>
      </c>
    </row>
    <row r="24" spans="1:1" x14ac:dyDescent="0.25">
      <c r="A24" t="s">
        <v>112</v>
      </c>
    </row>
    <row r="25" spans="1:1" x14ac:dyDescent="0.25">
      <c r="A25" t="s">
        <v>113</v>
      </c>
    </row>
    <row r="26" spans="1:1" x14ac:dyDescent="0.25">
      <c r="A26" t="s">
        <v>114</v>
      </c>
    </row>
    <row r="27" spans="1:1" x14ac:dyDescent="0.25">
      <c r="A27" t="s">
        <v>119</v>
      </c>
    </row>
    <row r="28" spans="1:1" x14ac:dyDescent="0.25">
      <c r="A28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62CB-A959-4DE1-A030-E67DED88D9CA}">
  <dimension ref="A1:A28"/>
  <sheetViews>
    <sheetView workbookViewId="0">
      <selection activeCell="A36" sqref="A36"/>
    </sheetView>
  </sheetViews>
  <sheetFormatPr defaultRowHeight="15" x14ac:dyDescent="0.25"/>
  <cols>
    <col min="1" max="1" width="22.7109375" customWidth="1"/>
  </cols>
  <sheetData>
    <row r="1" spans="1:1" x14ac:dyDescent="0.25">
      <c r="A1" t="s">
        <v>17</v>
      </c>
    </row>
    <row r="2" spans="1:1" x14ac:dyDescent="0.25">
      <c r="A2" t="s">
        <v>49</v>
      </c>
    </row>
    <row r="3" spans="1:1" x14ac:dyDescent="0.25">
      <c r="A3" t="s">
        <v>50</v>
      </c>
    </row>
    <row r="4" spans="1:1" x14ac:dyDescent="0.25">
      <c r="A4" t="s">
        <v>51</v>
      </c>
    </row>
    <row r="5" spans="1:1" x14ac:dyDescent="0.25">
      <c r="A5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61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64</v>
      </c>
    </row>
    <row r="18" spans="1:1" x14ac:dyDescent="0.25">
      <c r="A18" t="s">
        <v>65</v>
      </c>
    </row>
    <row r="19" spans="1:1" x14ac:dyDescent="0.25">
      <c r="A19" t="s">
        <v>66</v>
      </c>
    </row>
    <row r="20" spans="1:1" x14ac:dyDescent="0.25">
      <c r="A20" t="s">
        <v>67</v>
      </c>
    </row>
    <row r="21" spans="1:1" x14ac:dyDescent="0.25">
      <c r="A21" t="s">
        <v>68</v>
      </c>
    </row>
    <row r="22" spans="1:1" x14ac:dyDescent="0.25">
      <c r="A22" t="s">
        <v>104</v>
      </c>
    </row>
    <row r="23" spans="1:1" x14ac:dyDescent="0.25">
      <c r="A23" t="s">
        <v>105</v>
      </c>
    </row>
    <row r="24" spans="1:1" x14ac:dyDescent="0.25">
      <c r="A24" t="s">
        <v>115</v>
      </c>
    </row>
    <row r="25" spans="1:1" x14ac:dyDescent="0.25">
      <c r="A25" t="s">
        <v>116</v>
      </c>
    </row>
    <row r="26" spans="1:1" x14ac:dyDescent="0.25">
      <c r="A26" t="s">
        <v>117</v>
      </c>
    </row>
    <row r="27" spans="1:1" x14ac:dyDescent="0.25">
      <c r="A27" t="s">
        <v>121</v>
      </c>
    </row>
    <row r="28" spans="1:1" x14ac:dyDescent="0.25">
      <c r="A28" t="s">
        <v>122</v>
      </c>
    </row>
  </sheetData>
  <dataValidations count="1">
    <dataValidation type="list" allowBlank="1" showInputMessage="1" showErrorMessage="1" sqref="D22" xr:uid="{F25056ED-BA65-480C-9AB1-A18F3A23FB65}">
      <formula1>$A$1:$A$21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703-FA45-4189-B338-C514248FA7B5}">
  <dimension ref="A1:A19"/>
  <sheetViews>
    <sheetView workbookViewId="0">
      <selection activeCell="F25" sqref="F25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B688-DA21-4B0F-B8C0-6ECC74513E1D}">
  <dimension ref="A1:A3"/>
  <sheetViews>
    <sheetView workbookViewId="0">
      <selection activeCell="I28" sqref="I28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FA6D-D858-427B-874F-EAD964D384EF}">
  <dimension ref="A1:A2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93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Devices </vt:lpstr>
      <vt:lpstr>61</vt:lpstr>
      <vt:lpstr>62</vt:lpstr>
      <vt:lpstr>63</vt:lpstr>
      <vt:lpstr>64</vt:lpstr>
      <vt:lpstr>Connectors</vt:lpstr>
      <vt:lpstr>Hosts</vt:lpstr>
      <vt:lpstr>PortType</vt:lpstr>
      <vt:lpstr>Untagged(VLAN)</vt:lpstr>
      <vt:lpstr>STP Type</vt:lpstr>
      <vt:lpstr>Enabled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Saunders - STUDENT</dc:creator>
  <cp:lastModifiedBy>Liam Saunders - STUDENT</cp:lastModifiedBy>
  <dcterms:created xsi:type="dcterms:W3CDTF">2026-02-10T10:47:10Z</dcterms:created>
  <dcterms:modified xsi:type="dcterms:W3CDTF">2026-02-10T19:43:32Z</dcterms:modified>
</cp:coreProperties>
</file>